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Wine_Data" sheetId="2" state="visible" r:id="rId2"/>
    <sheet xmlns:r="http://schemas.openxmlformats.org/officeDocument/2006/relationships" name="Standardized_Matrix" sheetId="3" state="visible" r:id="rId3"/>
    <sheet xmlns:r="http://schemas.openxmlformats.org/officeDocument/2006/relationships" name="Clustering_Analytics" sheetId="4" state="visible" r:id="rId4"/>
    <sheet xmlns:r="http://schemas.openxmlformats.org/officeDocument/2006/relationships" name="K_Optimization_Elbow" sheetId="5" state="visible" r:id="rId5"/>
    <sheet xmlns:r="http://schemas.openxmlformats.org/officeDocument/2006/relationships" name="Feature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2E111A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3A101C"/>
      <sz val="11"/>
    </font>
    <font>
      <name val="Segoe UI"/>
      <b val="1"/>
      <color rgb="00FFFFFF"/>
      <sz val="10"/>
    </font>
    <font>
      <name val="Segoe UI"/>
      <i val="1"/>
      <sz val="10"/>
    </font>
    <font>
      <name val="Segoe UI"/>
      <b val="1"/>
      <color rgb="00FFFFFF"/>
      <sz val="13"/>
    </font>
    <font>
      <name val="Segoe UI"/>
      <sz val="9.5"/>
    </font>
  </fonts>
  <fills count="6">
    <fill>
      <patternFill/>
    </fill>
    <fill>
      <patternFill patternType="gray125"/>
    </fill>
    <fill>
      <patternFill patternType="solid">
        <fgColor rgb="003A101C"/>
        <bgColor rgb="003A101C"/>
      </patternFill>
    </fill>
    <fill>
      <patternFill patternType="solid">
        <fgColor rgb="00EFE4E6"/>
        <bgColor rgb="00EFE4E6"/>
      </patternFill>
    </fill>
    <fill>
      <patternFill patternType="solid">
        <fgColor rgb="00FAF6F7"/>
        <bgColor rgb="00FAF6F7"/>
      </patternFill>
    </fill>
    <fill>
      <patternFill patternType="solid">
        <fgColor rgb="00F4EBEB"/>
        <bgColor rgb="00F4EBEB"/>
      </patternFill>
    </fill>
  </fills>
  <borders count="2">
    <border>
      <left/>
      <right/>
      <top/>
      <bottom/>
      <diagonal/>
    </border>
    <border>
      <left style="thin">
        <color rgb="00C7B3B8"/>
      </left>
      <right style="thin">
        <color rgb="00C7B3B8"/>
      </right>
      <top style="thin">
        <color rgb="00C7B3B8"/>
      </top>
      <bottom style="thin">
        <color rgb="00C7B3B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2" fontId="9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2" fontId="9" fillId="4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Cluster Distribution: K-Means vs. Hierarchical Methods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'Executive_Summary'!B12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'Executive_Summary'!$A$13:$A$15</f>
            </numRef>
          </cat>
          <val>
            <numRef>
              <f>'Executive_Summary'!$B$13:$B$15</f>
            </numRef>
          </val>
        </ser>
        <ser>
          <idx val="1"/>
          <order val="1"/>
          <tx>
            <strRef>
              <f>'Executive_Summary'!C12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'Executive_Summary'!$A$13:$A$15</f>
            </numRef>
          </cat>
          <val>
            <numRef>
              <f>'Executive_Summary'!$C$13:$C$15</f>
            </numRef>
          </val>
        </ser>
        <ser>
          <idx val="2"/>
          <order val="2"/>
          <tx>
            <strRef>
              <f>'Executive_Summary'!D12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'Executive_Summary'!$A$13:$A$15</f>
            </numRef>
          </cat>
          <val>
            <numRef>
              <f>'Executive_Summary'!$D$13:$D$15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Cluster Partition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Elbow Method: Inertia vs. Number of Clusters (K)</a:t>
            </a:r>
          </a:p>
        </rich>
      </tx>
    </title>
    <plotArea>
      <lineChart>
        <grouping val="standard"/>
        <ser>
          <idx val="0"/>
          <order val="0"/>
          <tx>
            <strRef>
              <f>'K_Optimization_Elbow'!B2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'K_Optimization_Elbow'!$A$3:$A$9</f>
            </numRef>
          </cat>
          <val>
            <numRef>
              <f>'K_Optimization_Elbow'!$B$3:$B$9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Clusters (K)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Inertia (WCSS)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22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40" customHeight="1">
      <c r="A1" s="1" t="inlineStr">
        <is>
          <t>Wine Sample Clustering: Machine Learning Analytics Master Workbook</t>
        </is>
      </c>
    </row>
    <row r="2"/>
    <row r="3" ht="24" customHeight="1">
      <c r="A3" s="2" t="inlineStr">
        <is>
          <t>Project Title</t>
        </is>
      </c>
      <c r="B3" s="3" t="inlineStr">
        <is>
          <t>Wine Sample Clustering Using K-Means and Hierarchical Clustering Machine Learning</t>
        </is>
      </c>
    </row>
    <row r="4" ht="24" customHeight="1">
      <c r="A4" s="2" t="inlineStr">
        <is>
          <t>Execution Context</t>
        </is>
      </c>
      <c r="B4" s="3" t="inlineStr">
        <is>
          <t>Unsupervised Pattern Recognition, Chemical Fingerprinting &amp; Phenolic Profiling</t>
        </is>
      </c>
    </row>
    <row r="5" ht="24" customHeight="1">
      <c r="A5" s="2" t="inlineStr">
        <is>
          <t>Dataset Scale</t>
        </is>
      </c>
      <c r="B5" s="3" t="inlineStr">
        <is>
          <t>178 Samples, 16 Quantitative Features (Composition, Acidity, Phenolics, Color, Enology)</t>
        </is>
      </c>
    </row>
    <row r="6" ht="24" customHeight="1">
      <c r="A6" s="2" t="inlineStr">
        <is>
          <t>Optimal Clusters (K)</t>
        </is>
      </c>
      <c r="B6" s="4" t="inlineStr">
        <is>
          <t>3 Primary Clusters (Confirmed by Elbow Curve &amp; Silhouette Peak)</t>
        </is>
      </c>
    </row>
    <row r="7" ht="24" customHeight="1">
      <c r="A7" s="2" t="inlineStr">
        <is>
          <t>K-Means Silhouette Score</t>
        </is>
      </c>
      <c r="B7" s="4" t="inlineStr">
        <is>
          <t>0.2248 (Separation Index: Calinski-Harabasz = 51.4)</t>
        </is>
      </c>
    </row>
    <row r="8" ht="24" customHeight="1">
      <c r="A8" s="2" t="inlineStr">
        <is>
          <t>Hierarchical (Ward) Silhouette</t>
        </is>
      </c>
      <c r="B8" s="3" t="inlineStr">
        <is>
          <t>0.2222</t>
        </is>
      </c>
    </row>
    <row r="9" ht="24" customHeight="1">
      <c r="A9" s="2" t="inlineStr">
        <is>
          <t>PCA Variance Explained</t>
        </is>
      </c>
      <c r="B9" s="3" t="inlineStr">
        <is>
          <t>PC1: 30.08%, PC2: 16.01% (Total 2D Capture: 46.09%)</t>
        </is>
      </c>
    </row>
    <row r="10"/>
    <row r="11">
      <c r="A11" s="5" t="inlineStr">
        <is>
          <t>Cluster Membership Distribution &amp; Concordance</t>
        </is>
      </c>
    </row>
    <row r="12" ht="26" customHeight="1">
      <c r="A12" s="6" t="inlineStr">
        <is>
          <t>Cluster Group</t>
        </is>
      </c>
      <c r="B12" s="6" t="inlineStr">
        <is>
          <t>K-Means Count</t>
        </is>
      </c>
      <c r="C12" s="6" t="inlineStr">
        <is>
          <t>Hierarchical (Ward) Count</t>
        </is>
      </c>
      <c r="D12" s="6" t="inlineStr">
        <is>
          <t>Hierarchical (Avg) Count</t>
        </is>
      </c>
      <c r="E12" s="6" t="inlineStr">
        <is>
          <t>Prevalent Terroir / Region</t>
        </is>
      </c>
    </row>
    <row r="13" ht="22" customHeight="1">
      <c r="A13" s="7" t="inlineStr">
        <is>
          <t>Cluster 1</t>
        </is>
      </c>
      <c r="B13" s="8" t="n">
        <v>64</v>
      </c>
      <c r="C13" s="8" t="n">
        <v>63</v>
      </c>
      <c r="D13" s="8" t="n">
        <v>176</v>
      </c>
      <c r="E13" s="3" t="inlineStr">
        <is>
          <t>Piedmont (High Phenolics / Tannins)</t>
        </is>
      </c>
    </row>
    <row r="14" ht="22" customHeight="1">
      <c r="A14" s="7" t="inlineStr">
        <is>
          <t>Cluster 2</t>
        </is>
      </c>
      <c r="B14" s="8" t="n">
        <v>63</v>
      </c>
      <c r="C14" s="8" t="n">
        <v>53</v>
      </c>
      <c r="D14" s="8" t="n">
        <v>1</v>
      </c>
      <c r="E14" s="3" t="inlineStr">
        <is>
          <t>Veneto (Lighter, Fresh Acidity)</t>
        </is>
      </c>
    </row>
    <row r="15" ht="22" customHeight="1">
      <c r="A15" s="7" t="inlineStr">
        <is>
          <t>Cluster 3</t>
        </is>
      </c>
      <c r="B15" s="8" t="n">
        <v>51</v>
      </c>
      <c r="C15" s="8" t="n">
        <v>62</v>
      </c>
      <c r="D15" s="8" t="n">
        <v>1</v>
      </c>
      <c r="E15" s="3" t="inlineStr">
        <is>
          <t>Tuscany (Balanced Full-Bodied)</t>
        </is>
      </c>
    </row>
    <row r="16" ht="22" customHeight="1">
      <c r="A16" s="9" t="inlineStr">
        <is>
          <t>Total Samples</t>
        </is>
      </c>
      <c r="B16" s="10">
        <f>SUM(B13:B15)</f>
        <v/>
      </c>
      <c r="C16" s="10">
        <f>SUM(C13:C15)</f>
        <v/>
      </c>
      <c r="D16" s="10">
        <f>SUM(D13:D15)</f>
        <v/>
      </c>
      <c r="E16" s="11" t="inlineStr">
        <is>
          <t>100% Accounted</t>
        </is>
      </c>
    </row>
  </sheetData>
  <mergeCells count="8">
    <mergeCell ref="B9:E9"/>
    <mergeCell ref="B8:E8"/>
    <mergeCell ref="B4:E4"/>
    <mergeCell ref="B6:E6"/>
    <mergeCell ref="B7:E7"/>
    <mergeCell ref="B3:E3"/>
    <mergeCell ref="B5:E5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0"/>
  <sheetViews>
    <sheetView showGridLines="1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11" customWidth="1" min="4" max="4"/>
    <col width="13" customWidth="1" min="5" max="5"/>
    <col width="11" customWidth="1" min="6" max="6"/>
    <col width="20" customWidth="1" min="7" max="7"/>
    <col width="12" customWidth="1" min="8" max="8"/>
    <col width="16" customWidth="1" min="9" max="9"/>
    <col width="13" customWidth="1" min="10" max="10"/>
    <col width="23" customWidth="1" min="11" max="11"/>
    <col width="18" customWidth="1" min="12" max="12"/>
    <col width="18" customWidth="1" min="13" max="13"/>
    <col width="11" customWidth="1" min="14" max="14"/>
    <col width="28" customWidth="1" min="15" max="15"/>
    <col width="11" customWidth="1" min="16" max="16"/>
    <col width="11" customWidth="1" min="17" max="17"/>
    <col width="20" customWidth="1" min="18" max="18"/>
    <col width="22" customWidth="1" min="19" max="19"/>
  </cols>
  <sheetData>
    <row r="1" ht="35" customHeight="1">
      <c r="A1" s="12" t="inlineStr">
        <is>
          <t>Comprehensive Wine Chemical &amp; Enological Dataset (Standardized Feature Pipeline Ready)</t>
        </is>
      </c>
    </row>
    <row r="2" ht="28" customHeight="1">
      <c r="A2" s="6" t="inlineStr">
        <is>
          <t>Sample ID</t>
        </is>
      </c>
      <c r="B2" s="6" t="inlineStr">
        <is>
          <t>Origin Region</t>
        </is>
      </c>
      <c r="C2" s="6" t="inlineStr">
        <is>
          <t>Vintage Year</t>
        </is>
      </c>
      <c r="D2" s="6" t="inlineStr">
        <is>
          <t>Alcohol</t>
        </is>
      </c>
      <c r="E2" s="6" t="inlineStr">
        <is>
          <t>Malic Acid</t>
        </is>
      </c>
      <c r="F2" s="6" t="inlineStr">
        <is>
          <t>Ash</t>
        </is>
      </c>
      <c r="G2" s="6" t="inlineStr">
        <is>
          <t>Alcalinity of Ash</t>
        </is>
      </c>
      <c r="H2" s="6" t="inlineStr">
        <is>
          <t>Magnesium</t>
        </is>
      </c>
      <c r="I2" s="6" t="inlineStr">
        <is>
          <t>Total Phenols</t>
        </is>
      </c>
      <c r="J2" s="6" t="inlineStr">
        <is>
          <t>Flavonoids</t>
        </is>
      </c>
      <c r="K2" s="6" t="inlineStr">
        <is>
          <t>Nonflavanoid Phenols</t>
        </is>
      </c>
      <c r="L2" s="6" t="inlineStr">
        <is>
          <t>Proanthocyanins</t>
        </is>
      </c>
      <c r="M2" s="6" t="inlineStr">
        <is>
          <t>Color Intensity</t>
        </is>
      </c>
      <c r="N2" s="6" t="inlineStr">
        <is>
          <t>Hue</t>
        </is>
      </c>
      <c r="O2" s="6" t="inlineStr">
        <is>
          <t>OD280/OD315 Diluted Wines</t>
        </is>
      </c>
      <c r="P2" s="6" t="inlineStr">
        <is>
          <t>Proline</t>
        </is>
      </c>
      <c r="Q2" s="6" t="inlineStr">
        <is>
          <t>pH</t>
        </is>
      </c>
      <c r="R2" s="6" t="inlineStr">
        <is>
          <t>Residual Sugar gL</t>
        </is>
      </c>
      <c r="S2" s="6" t="inlineStr">
        <is>
          <t>Fermentation Temp C</t>
        </is>
      </c>
    </row>
    <row r="3" ht="19" customHeight="1">
      <c r="A3" s="13" t="inlineStr">
        <is>
          <t>WINE-001</t>
        </is>
      </c>
      <c r="B3" s="14" t="inlineStr">
        <is>
          <t>Piedmont (Barolo Zone)</t>
        </is>
      </c>
      <c r="C3" s="13" t="n">
        <v>2020</v>
      </c>
      <c r="D3" s="15" t="n">
        <v>14.23</v>
      </c>
      <c r="E3" s="15" t="n">
        <v>1.71</v>
      </c>
      <c r="F3" s="15" t="n">
        <v>2.43</v>
      </c>
      <c r="G3" s="15" t="n">
        <v>15.6</v>
      </c>
      <c r="H3" s="15" t="n">
        <v>127</v>
      </c>
      <c r="I3" s="15" t="n">
        <v>2.8</v>
      </c>
      <c r="J3" s="15" t="n">
        <v>3.06</v>
      </c>
      <c r="K3" s="15" t="n">
        <v>0.28</v>
      </c>
      <c r="L3" s="15" t="n">
        <v>2.29</v>
      </c>
      <c r="M3" s="15" t="n">
        <v>5.64</v>
      </c>
      <c r="N3" s="15" t="n">
        <v>1.04</v>
      </c>
      <c r="O3" s="15" t="n">
        <v>3.92</v>
      </c>
      <c r="P3" s="15" t="n">
        <v>1065</v>
      </c>
      <c r="Q3" s="15" t="n">
        <v>3.28</v>
      </c>
      <c r="R3" s="15" t="n">
        <v>3.77</v>
      </c>
      <c r="S3" s="15" t="n">
        <v>26.6</v>
      </c>
    </row>
    <row r="4" ht="19" customHeight="1">
      <c r="A4" s="16" t="inlineStr">
        <is>
          <t>WINE-002</t>
        </is>
      </c>
      <c r="B4" s="17" t="inlineStr">
        <is>
          <t>Piedmont (Barolo Zone)</t>
        </is>
      </c>
      <c r="C4" s="16" t="n">
        <v>2022</v>
      </c>
      <c r="D4" s="18" t="n">
        <v>13.2</v>
      </c>
      <c r="E4" s="18" t="n">
        <v>1.78</v>
      </c>
      <c r="F4" s="18" t="n">
        <v>2.14</v>
      </c>
      <c r="G4" s="18" t="n">
        <v>11.2</v>
      </c>
      <c r="H4" s="18" t="n">
        <v>100</v>
      </c>
      <c r="I4" s="18" t="n">
        <v>2.65</v>
      </c>
      <c r="J4" s="18" t="n">
        <v>2.76</v>
      </c>
      <c r="K4" s="18" t="n">
        <v>0.26</v>
      </c>
      <c r="L4" s="18" t="n">
        <v>1.28</v>
      </c>
      <c r="M4" s="18" t="n">
        <v>4.38</v>
      </c>
      <c r="N4" s="18" t="n">
        <v>1.05</v>
      </c>
      <c r="O4" s="18" t="n">
        <v>3.4</v>
      </c>
      <c r="P4" s="18" t="n">
        <v>1050</v>
      </c>
      <c r="Q4" s="18" t="n">
        <v>3.35</v>
      </c>
      <c r="R4" s="18" t="n">
        <v>1.76</v>
      </c>
      <c r="S4" s="18" t="n">
        <v>28.5</v>
      </c>
    </row>
    <row r="5" ht="19" customHeight="1">
      <c r="A5" s="13" t="inlineStr">
        <is>
          <t>WINE-003</t>
        </is>
      </c>
      <c r="B5" s="14" t="inlineStr">
        <is>
          <t>Piedmont (Barolo Zone)</t>
        </is>
      </c>
      <c r="C5" s="13" t="n">
        <v>2021</v>
      </c>
      <c r="D5" s="15" t="n">
        <v>13.16</v>
      </c>
      <c r="E5" s="15" t="n">
        <v>2.36</v>
      </c>
      <c r="F5" s="15" t="n">
        <v>2.67</v>
      </c>
      <c r="G5" s="15" t="n">
        <v>18.6</v>
      </c>
      <c r="H5" s="15" t="n">
        <v>101</v>
      </c>
      <c r="I5" s="15" t="n">
        <v>2.8</v>
      </c>
      <c r="J5" s="15" t="n">
        <v>3.24</v>
      </c>
      <c r="K5" s="15" t="n">
        <v>0.3</v>
      </c>
      <c r="L5" s="15" t="n">
        <v>2.81</v>
      </c>
      <c r="M5" s="15" t="n">
        <v>5.68</v>
      </c>
      <c r="N5" s="15" t="n">
        <v>1.03</v>
      </c>
      <c r="O5" s="15" t="n">
        <v>3.17</v>
      </c>
      <c r="P5" s="15" t="n">
        <v>1185</v>
      </c>
      <c r="Q5" s="15" t="n">
        <v>3.47</v>
      </c>
      <c r="R5" s="15" t="n">
        <v>2.14</v>
      </c>
      <c r="S5" s="15" t="n">
        <v>23.5</v>
      </c>
    </row>
    <row r="6" ht="19" customHeight="1">
      <c r="A6" s="16" t="inlineStr">
        <is>
          <t>WINE-004</t>
        </is>
      </c>
      <c r="B6" s="17" t="inlineStr">
        <is>
          <t>Piedmont (Barolo Zone)</t>
        </is>
      </c>
      <c r="C6" s="16" t="n">
        <v>2020</v>
      </c>
      <c r="D6" s="18" t="n">
        <v>14.37</v>
      </c>
      <c r="E6" s="18" t="n">
        <v>1.95</v>
      </c>
      <c r="F6" s="18" t="n">
        <v>2.5</v>
      </c>
      <c r="G6" s="18" t="n">
        <v>16.8</v>
      </c>
      <c r="H6" s="18" t="n">
        <v>113</v>
      </c>
      <c r="I6" s="18" t="n">
        <v>3.85</v>
      </c>
      <c r="J6" s="18" t="n">
        <v>3.49</v>
      </c>
      <c r="K6" s="18" t="n">
        <v>0.24</v>
      </c>
      <c r="L6" s="18" t="n">
        <v>2.18</v>
      </c>
      <c r="M6" s="18" t="n">
        <v>7.8</v>
      </c>
      <c r="N6" s="18" t="n">
        <v>0.86</v>
      </c>
      <c r="O6" s="18" t="n">
        <v>3.45</v>
      </c>
      <c r="P6" s="18" t="n">
        <v>1480</v>
      </c>
      <c r="Q6" s="18" t="n">
        <v>3.2</v>
      </c>
      <c r="R6" s="18" t="n">
        <v>1.58</v>
      </c>
      <c r="S6" s="18" t="n">
        <v>29.3</v>
      </c>
    </row>
    <row r="7" ht="19" customHeight="1">
      <c r="A7" s="13" t="inlineStr">
        <is>
          <t>WINE-005</t>
        </is>
      </c>
      <c r="B7" s="14" t="inlineStr">
        <is>
          <t>Piedmont (Barolo Zone)</t>
        </is>
      </c>
      <c r="C7" s="13" t="n">
        <v>2019</v>
      </c>
      <c r="D7" s="15" t="n">
        <v>13.24</v>
      </c>
      <c r="E7" s="15" t="n">
        <v>2.59</v>
      </c>
      <c r="F7" s="15" t="n">
        <v>2.87</v>
      </c>
      <c r="G7" s="15" t="n">
        <v>21</v>
      </c>
      <c r="H7" s="15" t="n">
        <v>118</v>
      </c>
      <c r="I7" s="15" t="n">
        <v>2.8</v>
      </c>
      <c r="J7" s="15" t="n">
        <v>2.69</v>
      </c>
      <c r="K7" s="15" t="n">
        <v>0.39</v>
      </c>
      <c r="L7" s="15" t="n">
        <v>1.82</v>
      </c>
      <c r="M7" s="15" t="n">
        <v>4.32</v>
      </c>
      <c r="N7" s="15" t="n">
        <v>1.04</v>
      </c>
      <c r="O7" s="15" t="n">
        <v>2.93</v>
      </c>
      <c r="P7" s="15" t="n">
        <v>735</v>
      </c>
      <c r="Q7" s="15" t="n">
        <v>3.36</v>
      </c>
      <c r="R7" s="15" t="n">
        <v>0.9399999999999999</v>
      </c>
      <c r="S7" s="15" t="n">
        <v>26.2</v>
      </c>
    </row>
    <row r="8" ht="19" customHeight="1">
      <c r="A8" s="16" t="inlineStr">
        <is>
          <t>WINE-006</t>
        </is>
      </c>
      <c r="B8" s="17" t="inlineStr">
        <is>
          <t>Piedmont (Barolo Zone)</t>
        </is>
      </c>
      <c r="C8" s="16" t="n">
        <v>2019</v>
      </c>
      <c r="D8" s="18" t="n">
        <v>14.2</v>
      </c>
      <c r="E8" s="18" t="n">
        <v>1.76</v>
      </c>
      <c r="F8" s="18" t="n">
        <v>2.45</v>
      </c>
      <c r="G8" s="18" t="n">
        <v>15.2</v>
      </c>
      <c r="H8" s="18" t="n">
        <v>112</v>
      </c>
      <c r="I8" s="18" t="n">
        <v>3.27</v>
      </c>
      <c r="J8" s="18" t="n">
        <v>3.39</v>
      </c>
      <c r="K8" s="18" t="n">
        <v>0.34</v>
      </c>
      <c r="L8" s="18" t="n">
        <v>1.97</v>
      </c>
      <c r="M8" s="18" t="n">
        <v>6.75</v>
      </c>
      <c r="N8" s="18" t="n">
        <v>1.05</v>
      </c>
      <c r="O8" s="18" t="n">
        <v>2.85</v>
      </c>
      <c r="P8" s="18" t="n">
        <v>1450</v>
      </c>
      <c r="Q8" s="18" t="n">
        <v>3.59</v>
      </c>
      <c r="R8" s="18" t="n">
        <v>5.55</v>
      </c>
      <c r="S8" s="18" t="n">
        <v>25.7</v>
      </c>
    </row>
    <row r="9" ht="19" customHeight="1">
      <c r="A9" s="13" t="inlineStr">
        <is>
          <t>WINE-007</t>
        </is>
      </c>
      <c r="B9" s="14" t="inlineStr">
        <is>
          <t>Piedmont (Barolo Zone)</t>
        </is>
      </c>
      <c r="C9" s="13" t="n">
        <v>2019</v>
      </c>
      <c r="D9" s="15" t="n">
        <v>14.39</v>
      </c>
      <c r="E9" s="15" t="n">
        <v>1.87</v>
      </c>
      <c r="F9" s="15" t="n">
        <v>2.45</v>
      </c>
      <c r="G9" s="15" t="n">
        <v>14.6</v>
      </c>
      <c r="H9" s="15" t="n">
        <v>96</v>
      </c>
      <c r="I9" s="15" t="n">
        <v>2.5</v>
      </c>
      <c r="J9" s="15" t="n">
        <v>2.52</v>
      </c>
      <c r="K9" s="15" t="n">
        <v>0.3</v>
      </c>
      <c r="L9" s="15" t="n">
        <v>1.98</v>
      </c>
      <c r="M9" s="15" t="n">
        <v>5.25</v>
      </c>
      <c r="N9" s="15" t="n">
        <v>1.02</v>
      </c>
      <c r="O9" s="15" t="n">
        <v>3.58</v>
      </c>
      <c r="P9" s="15" t="n">
        <v>1290</v>
      </c>
      <c r="Q9" s="15" t="n">
        <v>3.15</v>
      </c>
      <c r="R9" s="15" t="n">
        <v>3.49</v>
      </c>
      <c r="S9" s="15" t="n">
        <v>24.7</v>
      </c>
    </row>
    <row r="10" ht="19" customHeight="1">
      <c r="A10" s="16" t="inlineStr">
        <is>
          <t>WINE-008</t>
        </is>
      </c>
      <c r="B10" s="17" t="inlineStr">
        <is>
          <t>Piedmont (Barolo Zone)</t>
        </is>
      </c>
      <c r="C10" s="16" t="n">
        <v>2022</v>
      </c>
      <c r="D10" s="18" t="n">
        <v>14.06</v>
      </c>
      <c r="E10" s="18" t="n">
        <v>2.15</v>
      </c>
      <c r="F10" s="18" t="n">
        <v>2.61</v>
      </c>
      <c r="G10" s="18" t="n">
        <v>17.6</v>
      </c>
      <c r="H10" s="18" t="n">
        <v>121</v>
      </c>
      <c r="I10" s="18" t="n">
        <v>2.6</v>
      </c>
      <c r="J10" s="18" t="n">
        <v>2.51</v>
      </c>
      <c r="K10" s="18" t="n">
        <v>0.31</v>
      </c>
      <c r="L10" s="18" t="n">
        <v>1.25</v>
      </c>
      <c r="M10" s="18" t="n">
        <v>5.05</v>
      </c>
      <c r="N10" s="18" t="n">
        <v>1.06</v>
      </c>
      <c r="O10" s="18" t="n">
        <v>3.58</v>
      </c>
      <c r="P10" s="18" t="n">
        <v>1295</v>
      </c>
      <c r="Q10" s="18" t="n">
        <v>3.39</v>
      </c>
      <c r="R10" s="18" t="n">
        <v>2.84</v>
      </c>
      <c r="S10" s="18" t="n">
        <v>23.5</v>
      </c>
    </row>
    <row r="11" ht="19" customHeight="1">
      <c r="A11" s="13" t="inlineStr">
        <is>
          <t>WINE-009</t>
        </is>
      </c>
      <c r="B11" s="14" t="inlineStr">
        <is>
          <t>Piedmont (Barolo Zone)</t>
        </is>
      </c>
      <c r="C11" s="13" t="n">
        <v>2021</v>
      </c>
      <c r="D11" s="15" t="n">
        <v>14.83</v>
      </c>
      <c r="E11" s="15" t="n">
        <v>1.64</v>
      </c>
      <c r="F11" s="15" t="n">
        <v>2.17</v>
      </c>
      <c r="G11" s="15" t="n">
        <v>14</v>
      </c>
      <c r="H11" s="15" t="n">
        <v>97</v>
      </c>
      <c r="I11" s="15" t="n">
        <v>2.8</v>
      </c>
      <c r="J11" s="15" t="n">
        <v>2.98</v>
      </c>
      <c r="K11" s="15" t="n">
        <v>0.29</v>
      </c>
      <c r="L11" s="15" t="n">
        <v>1.98</v>
      </c>
      <c r="M11" s="15" t="n">
        <v>5.2</v>
      </c>
      <c r="N11" s="15" t="n">
        <v>1.08</v>
      </c>
      <c r="O11" s="15" t="n">
        <v>2.85</v>
      </c>
      <c r="P11" s="15" t="n">
        <v>1045</v>
      </c>
      <c r="Q11" s="15" t="n">
        <v>3.44</v>
      </c>
      <c r="R11" s="15" t="n">
        <v>1.72</v>
      </c>
      <c r="S11" s="15" t="n">
        <v>28</v>
      </c>
    </row>
    <row r="12" ht="19" customHeight="1">
      <c r="A12" s="16" t="inlineStr">
        <is>
          <t>WINE-010</t>
        </is>
      </c>
      <c r="B12" s="17" t="inlineStr">
        <is>
          <t>Piedmont (Barolo Zone)</t>
        </is>
      </c>
      <c r="C12" s="16" t="n">
        <v>2021</v>
      </c>
      <c r="D12" s="18" t="n">
        <v>13.86</v>
      </c>
      <c r="E12" s="18" t="n">
        <v>1.35</v>
      </c>
      <c r="F12" s="18" t="n">
        <v>2.27</v>
      </c>
      <c r="G12" s="18" t="n">
        <v>16</v>
      </c>
      <c r="H12" s="18" t="n">
        <v>98</v>
      </c>
      <c r="I12" s="18" t="n">
        <v>2.98</v>
      </c>
      <c r="J12" s="18" t="n">
        <v>3.15</v>
      </c>
      <c r="K12" s="18" t="n">
        <v>0.22</v>
      </c>
      <c r="L12" s="18" t="n">
        <v>1.85</v>
      </c>
      <c r="M12" s="18" t="n">
        <v>7.22</v>
      </c>
      <c r="N12" s="18" t="n">
        <v>1.01</v>
      </c>
      <c r="O12" s="18" t="n">
        <v>3.55</v>
      </c>
      <c r="P12" s="18" t="n">
        <v>1045</v>
      </c>
      <c r="Q12" s="18" t="n">
        <v>3.55</v>
      </c>
      <c r="R12" s="18" t="n">
        <v>0.88</v>
      </c>
      <c r="S12" s="18" t="n">
        <v>26.6</v>
      </c>
    </row>
    <row r="13" ht="19" customHeight="1">
      <c r="A13" s="13" t="inlineStr">
        <is>
          <t>WINE-011</t>
        </is>
      </c>
      <c r="B13" s="14" t="inlineStr">
        <is>
          <t>Piedmont (Barolo Zone)</t>
        </is>
      </c>
      <c r="C13" s="13" t="n">
        <v>2019</v>
      </c>
      <c r="D13" s="15" t="n">
        <v>14.1</v>
      </c>
      <c r="E13" s="15" t="n">
        <v>2.16</v>
      </c>
      <c r="F13" s="15" t="n">
        <v>2.3</v>
      </c>
      <c r="G13" s="15" t="n">
        <v>18</v>
      </c>
      <c r="H13" s="15" t="n">
        <v>105</v>
      </c>
      <c r="I13" s="15" t="n">
        <v>2.95</v>
      </c>
      <c r="J13" s="15" t="n">
        <v>3.32</v>
      </c>
      <c r="K13" s="15" t="n">
        <v>0.22</v>
      </c>
      <c r="L13" s="15" t="n">
        <v>2.38</v>
      </c>
      <c r="M13" s="15" t="n">
        <v>5.75</v>
      </c>
      <c r="N13" s="15" t="n">
        <v>1.25</v>
      </c>
      <c r="O13" s="15" t="n">
        <v>3.17</v>
      </c>
      <c r="P13" s="15" t="n">
        <v>1510</v>
      </c>
      <c r="Q13" s="15" t="n">
        <v>3.18</v>
      </c>
      <c r="R13" s="15" t="n">
        <v>3.15</v>
      </c>
      <c r="S13" s="15" t="n">
        <v>24.2</v>
      </c>
    </row>
    <row r="14" ht="19" customHeight="1">
      <c r="A14" s="16" t="inlineStr">
        <is>
          <t>WINE-012</t>
        </is>
      </c>
      <c r="B14" s="17" t="inlineStr">
        <is>
          <t>Piedmont (Barolo Zone)</t>
        </is>
      </c>
      <c r="C14" s="16" t="n">
        <v>2022</v>
      </c>
      <c r="D14" s="18" t="n">
        <v>14.12</v>
      </c>
      <c r="E14" s="18" t="n">
        <v>1.48</v>
      </c>
      <c r="F14" s="18" t="n">
        <v>2.32</v>
      </c>
      <c r="G14" s="18" t="n">
        <v>16.8</v>
      </c>
      <c r="H14" s="18" t="n">
        <v>95</v>
      </c>
      <c r="I14" s="18" t="n">
        <v>2.2</v>
      </c>
      <c r="J14" s="18" t="n">
        <v>2.43</v>
      </c>
      <c r="K14" s="18" t="n">
        <v>0.26</v>
      </c>
      <c r="L14" s="18" t="n">
        <v>1.57</v>
      </c>
      <c r="M14" s="18" t="n">
        <v>5</v>
      </c>
      <c r="N14" s="18" t="n">
        <v>1.17</v>
      </c>
      <c r="O14" s="18" t="n">
        <v>2.82</v>
      </c>
      <c r="P14" s="18" t="n">
        <v>1280</v>
      </c>
      <c r="Q14" s="18" t="n">
        <v>3.22</v>
      </c>
      <c r="R14" s="18" t="n">
        <v>1.57</v>
      </c>
      <c r="S14" s="18" t="n">
        <v>24.2</v>
      </c>
    </row>
    <row r="15" ht="19" customHeight="1">
      <c r="A15" s="13" t="inlineStr">
        <is>
          <t>WINE-013</t>
        </is>
      </c>
      <c r="B15" s="14" t="inlineStr">
        <is>
          <t>Piedmont (Barolo Zone)</t>
        </is>
      </c>
      <c r="C15" s="13" t="n">
        <v>2021</v>
      </c>
      <c r="D15" s="15" t="n">
        <v>13.75</v>
      </c>
      <c r="E15" s="15" t="n">
        <v>1.73</v>
      </c>
      <c r="F15" s="15" t="n">
        <v>2.41</v>
      </c>
      <c r="G15" s="15" t="n">
        <v>16</v>
      </c>
      <c r="H15" s="15" t="n">
        <v>89</v>
      </c>
      <c r="I15" s="15" t="n">
        <v>2.6</v>
      </c>
      <c r="J15" s="15" t="n">
        <v>2.76</v>
      </c>
      <c r="K15" s="15" t="n">
        <v>0.29</v>
      </c>
      <c r="L15" s="15" t="n">
        <v>1.81</v>
      </c>
      <c r="M15" s="15" t="n">
        <v>5.6</v>
      </c>
      <c r="N15" s="15" t="n">
        <v>1.15</v>
      </c>
      <c r="O15" s="15" t="n">
        <v>2.9</v>
      </c>
      <c r="P15" s="15" t="n">
        <v>1320</v>
      </c>
      <c r="Q15" s="15" t="n">
        <v>3.48</v>
      </c>
      <c r="R15" s="15" t="n">
        <v>2.27</v>
      </c>
      <c r="S15" s="15" t="n">
        <v>25.9</v>
      </c>
    </row>
    <row r="16" ht="19" customHeight="1">
      <c r="A16" s="16" t="inlineStr">
        <is>
          <t>WINE-014</t>
        </is>
      </c>
      <c r="B16" s="17" t="inlineStr">
        <is>
          <t>Piedmont (Barolo Zone)</t>
        </is>
      </c>
      <c r="C16" s="16" t="n">
        <v>2019</v>
      </c>
      <c r="D16" s="18" t="n">
        <v>14.75</v>
      </c>
      <c r="E16" s="18" t="n">
        <v>1.73</v>
      </c>
      <c r="F16" s="18" t="n">
        <v>2.39</v>
      </c>
      <c r="G16" s="18" t="n">
        <v>11.4</v>
      </c>
      <c r="H16" s="18" t="n">
        <v>91</v>
      </c>
      <c r="I16" s="18" t="n">
        <v>3.1</v>
      </c>
      <c r="J16" s="18" t="n">
        <v>3.69</v>
      </c>
      <c r="K16" s="18" t="n">
        <v>0.43</v>
      </c>
      <c r="L16" s="18" t="n">
        <v>2.81</v>
      </c>
      <c r="M16" s="18" t="n">
        <v>5.4</v>
      </c>
      <c r="N16" s="18" t="n">
        <v>1.25</v>
      </c>
      <c r="O16" s="18" t="n">
        <v>2.73</v>
      </c>
      <c r="P16" s="18" t="n">
        <v>1150</v>
      </c>
      <c r="Q16" s="18" t="n">
        <v>3.44</v>
      </c>
      <c r="R16" s="18" t="n">
        <v>1.15</v>
      </c>
      <c r="S16" s="18" t="n">
        <v>29.5</v>
      </c>
    </row>
    <row r="17" ht="19" customHeight="1">
      <c r="A17" s="13" t="inlineStr">
        <is>
          <t>WINE-015</t>
        </is>
      </c>
      <c r="B17" s="14" t="inlineStr">
        <is>
          <t>Piedmont (Barolo Zone)</t>
        </is>
      </c>
      <c r="C17" s="13" t="n">
        <v>2019</v>
      </c>
      <c r="D17" s="15" t="n">
        <v>14.38</v>
      </c>
      <c r="E17" s="15" t="n">
        <v>1.87</v>
      </c>
      <c r="F17" s="15" t="n">
        <v>2.38</v>
      </c>
      <c r="G17" s="15" t="n">
        <v>12</v>
      </c>
      <c r="H17" s="15" t="n">
        <v>102</v>
      </c>
      <c r="I17" s="15" t="n">
        <v>3.3</v>
      </c>
      <c r="J17" s="15" t="n">
        <v>3.64</v>
      </c>
      <c r="K17" s="15" t="n">
        <v>0.29</v>
      </c>
      <c r="L17" s="15" t="n">
        <v>2.96</v>
      </c>
      <c r="M17" s="15" t="n">
        <v>7.5</v>
      </c>
      <c r="N17" s="15" t="n">
        <v>1.2</v>
      </c>
      <c r="O17" s="15" t="n">
        <v>3</v>
      </c>
      <c r="P17" s="15" t="n">
        <v>1547</v>
      </c>
      <c r="Q17" s="15" t="n">
        <v>3.42</v>
      </c>
      <c r="R17" s="15" t="n">
        <v>2.04</v>
      </c>
      <c r="S17" s="15" t="n">
        <v>26</v>
      </c>
    </row>
    <row r="18" ht="19" customHeight="1">
      <c r="A18" s="16" t="inlineStr">
        <is>
          <t>WINE-016</t>
        </is>
      </c>
      <c r="B18" s="17" t="inlineStr">
        <is>
          <t>Piedmont (Barolo Zone)</t>
        </is>
      </c>
      <c r="C18" s="16" t="n">
        <v>2019</v>
      </c>
      <c r="D18" s="18" t="n">
        <v>13.63</v>
      </c>
      <c r="E18" s="18" t="n">
        <v>1.81</v>
      </c>
      <c r="F18" s="18" t="n">
        <v>2.7</v>
      </c>
      <c r="G18" s="18" t="n">
        <v>17.2</v>
      </c>
      <c r="H18" s="18" t="n">
        <v>112</v>
      </c>
      <c r="I18" s="18" t="n">
        <v>2.85</v>
      </c>
      <c r="J18" s="18" t="n">
        <v>2.91</v>
      </c>
      <c r="K18" s="18" t="n">
        <v>0.3</v>
      </c>
      <c r="L18" s="18" t="n">
        <v>1.46</v>
      </c>
      <c r="M18" s="18" t="n">
        <v>7.3</v>
      </c>
      <c r="N18" s="18" t="n">
        <v>1.28</v>
      </c>
      <c r="O18" s="18" t="n">
        <v>2.88</v>
      </c>
      <c r="P18" s="18" t="n">
        <v>1310</v>
      </c>
      <c r="Q18" s="18" t="n">
        <v>3.44</v>
      </c>
      <c r="R18" s="18" t="n">
        <v>1.2</v>
      </c>
      <c r="S18" s="18" t="n">
        <v>23.8</v>
      </c>
    </row>
    <row r="19" ht="19" customHeight="1">
      <c r="A19" s="13" t="inlineStr">
        <is>
          <t>WINE-017</t>
        </is>
      </c>
      <c r="B19" s="14" t="inlineStr">
        <is>
          <t>Piedmont (Barolo Zone)</t>
        </is>
      </c>
      <c r="C19" s="13" t="n">
        <v>2020</v>
      </c>
      <c r="D19" s="15" t="n">
        <v>14.3</v>
      </c>
      <c r="E19" s="15" t="n">
        <v>1.92</v>
      </c>
      <c r="F19" s="15" t="n">
        <v>2.72</v>
      </c>
      <c r="G19" s="15" t="n">
        <v>20</v>
      </c>
      <c r="H19" s="15" t="n">
        <v>120</v>
      </c>
      <c r="I19" s="15" t="n">
        <v>2.8</v>
      </c>
      <c r="J19" s="15" t="n">
        <v>3.14</v>
      </c>
      <c r="K19" s="15" t="n">
        <v>0.33</v>
      </c>
      <c r="L19" s="15" t="n">
        <v>1.97</v>
      </c>
      <c r="M19" s="15" t="n">
        <v>6.2</v>
      </c>
      <c r="N19" s="15" t="n">
        <v>1.07</v>
      </c>
      <c r="O19" s="15" t="n">
        <v>2.65</v>
      </c>
      <c r="P19" s="15" t="n">
        <v>1280</v>
      </c>
      <c r="Q19" s="15" t="n">
        <v>3.28</v>
      </c>
      <c r="R19" s="15" t="n">
        <v>1.24</v>
      </c>
      <c r="S19" s="15" t="n">
        <v>26.1</v>
      </c>
    </row>
    <row r="20" ht="19" customHeight="1">
      <c r="A20" s="16" t="inlineStr">
        <is>
          <t>WINE-018</t>
        </is>
      </c>
      <c r="B20" s="17" t="inlineStr">
        <is>
          <t>Piedmont (Barolo Zone)</t>
        </is>
      </c>
      <c r="C20" s="16" t="n">
        <v>2020</v>
      </c>
      <c r="D20" s="18" t="n">
        <v>13.83</v>
      </c>
      <c r="E20" s="18" t="n">
        <v>1.57</v>
      </c>
      <c r="F20" s="18" t="n">
        <v>2.62</v>
      </c>
      <c r="G20" s="18" t="n">
        <v>20</v>
      </c>
      <c r="H20" s="18" t="n">
        <v>115</v>
      </c>
      <c r="I20" s="18" t="n">
        <v>2.95</v>
      </c>
      <c r="J20" s="18" t="n">
        <v>3.4</v>
      </c>
      <c r="K20" s="18" t="n">
        <v>0.4</v>
      </c>
      <c r="L20" s="18" t="n">
        <v>1.72</v>
      </c>
      <c r="M20" s="18" t="n">
        <v>6.6</v>
      </c>
      <c r="N20" s="18" t="n">
        <v>1.13</v>
      </c>
      <c r="O20" s="18" t="n">
        <v>2.57</v>
      </c>
      <c r="P20" s="18" t="n">
        <v>1130</v>
      </c>
      <c r="Q20" s="18" t="n">
        <v>3.45</v>
      </c>
      <c r="R20" s="18" t="n">
        <v>2.02</v>
      </c>
      <c r="S20" s="18" t="n">
        <v>26</v>
      </c>
    </row>
    <row r="21" ht="19" customHeight="1">
      <c r="A21" s="13" t="inlineStr">
        <is>
          <t>WINE-019</t>
        </is>
      </c>
      <c r="B21" s="14" t="inlineStr">
        <is>
          <t>Piedmont (Barolo Zone)</t>
        </is>
      </c>
      <c r="C21" s="13" t="n">
        <v>2020</v>
      </c>
      <c r="D21" s="15" t="n">
        <v>14.19</v>
      </c>
      <c r="E21" s="15" t="n">
        <v>1.59</v>
      </c>
      <c r="F21" s="15" t="n">
        <v>2.48</v>
      </c>
      <c r="G21" s="15" t="n">
        <v>16.5</v>
      </c>
      <c r="H21" s="15" t="n">
        <v>108</v>
      </c>
      <c r="I21" s="15" t="n">
        <v>3.3</v>
      </c>
      <c r="J21" s="15" t="n">
        <v>3.93</v>
      </c>
      <c r="K21" s="15" t="n">
        <v>0.32</v>
      </c>
      <c r="L21" s="15" t="n">
        <v>1.86</v>
      </c>
      <c r="M21" s="15" t="n">
        <v>8.699999999999999</v>
      </c>
      <c r="N21" s="15" t="n">
        <v>1.23</v>
      </c>
      <c r="O21" s="15" t="n">
        <v>2.82</v>
      </c>
      <c r="P21" s="15" t="n">
        <v>1680</v>
      </c>
      <c r="Q21" s="15" t="n">
        <v>3.45</v>
      </c>
      <c r="R21" s="15" t="n">
        <v>0.53</v>
      </c>
      <c r="S21" s="15" t="n">
        <v>21.6</v>
      </c>
    </row>
    <row r="22" ht="19" customHeight="1">
      <c r="A22" s="16" t="inlineStr">
        <is>
          <t>WINE-020</t>
        </is>
      </c>
      <c r="B22" s="17" t="inlineStr">
        <is>
          <t>Piedmont (Barolo Zone)</t>
        </is>
      </c>
      <c r="C22" s="16" t="n">
        <v>2020</v>
      </c>
      <c r="D22" s="18" t="n">
        <v>13.64</v>
      </c>
      <c r="E22" s="18" t="n">
        <v>3.1</v>
      </c>
      <c r="F22" s="18" t="n">
        <v>2.56</v>
      </c>
      <c r="G22" s="18" t="n">
        <v>15.2</v>
      </c>
      <c r="H22" s="18" t="n">
        <v>116</v>
      </c>
      <c r="I22" s="18" t="n">
        <v>2.7</v>
      </c>
      <c r="J22" s="18" t="n">
        <v>3.03</v>
      </c>
      <c r="K22" s="18" t="n">
        <v>0.17</v>
      </c>
      <c r="L22" s="18" t="n">
        <v>1.66</v>
      </c>
      <c r="M22" s="18" t="n">
        <v>5.1</v>
      </c>
      <c r="N22" s="18" t="n">
        <v>0.96</v>
      </c>
      <c r="O22" s="18" t="n">
        <v>3.36</v>
      </c>
      <c r="P22" s="18" t="n">
        <v>845</v>
      </c>
      <c r="Q22" s="18" t="n">
        <v>3.18</v>
      </c>
      <c r="R22" s="18" t="n">
        <v>0.55</v>
      </c>
      <c r="S22" s="18" t="n">
        <v>26.4</v>
      </c>
    </row>
    <row r="23" ht="19" customHeight="1">
      <c r="A23" s="13" t="inlineStr">
        <is>
          <t>WINE-021</t>
        </is>
      </c>
      <c r="B23" s="14" t="inlineStr">
        <is>
          <t>Piedmont (Barolo Zone)</t>
        </is>
      </c>
      <c r="C23" s="13" t="n">
        <v>2021</v>
      </c>
      <c r="D23" s="15" t="n">
        <v>14.06</v>
      </c>
      <c r="E23" s="15" t="n">
        <v>1.63</v>
      </c>
      <c r="F23" s="15" t="n">
        <v>2.28</v>
      </c>
      <c r="G23" s="15" t="n">
        <v>16</v>
      </c>
      <c r="H23" s="15" t="n">
        <v>126</v>
      </c>
      <c r="I23" s="15" t="n">
        <v>3</v>
      </c>
      <c r="J23" s="15" t="n">
        <v>3.17</v>
      </c>
      <c r="K23" s="15" t="n">
        <v>0.24</v>
      </c>
      <c r="L23" s="15" t="n">
        <v>2.1</v>
      </c>
      <c r="M23" s="15" t="n">
        <v>5.65</v>
      </c>
      <c r="N23" s="15" t="n">
        <v>1.09</v>
      </c>
      <c r="O23" s="15" t="n">
        <v>3.71</v>
      </c>
      <c r="P23" s="15" t="n">
        <v>780</v>
      </c>
      <c r="Q23" s="15" t="n">
        <v>3.69</v>
      </c>
      <c r="R23" s="15" t="n">
        <v>1.02</v>
      </c>
      <c r="S23" s="15" t="n">
        <v>26.1</v>
      </c>
    </row>
    <row r="24" ht="19" customHeight="1">
      <c r="A24" s="16" t="inlineStr">
        <is>
          <t>WINE-022</t>
        </is>
      </c>
      <c r="B24" s="17" t="inlineStr">
        <is>
          <t>Piedmont (Barolo Zone)</t>
        </is>
      </c>
      <c r="C24" s="16" t="n">
        <v>2019</v>
      </c>
      <c r="D24" s="18" t="n">
        <v>12.93</v>
      </c>
      <c r="E24" s="18" t="n">
        <v>3.8</v>
      </c>
      <c r="F24" s="18" t="n">
        <v>2.65</v>
      </c>
      <c r="G24" s="18" t="n">
        <v>18.6</v>
      </c>
      <c r="H24" s="18" t="n">
        <v>102</v>
      </c>
      <c r="I24" s="18" t="n">
        <v>2.41</v>
      </c>
      <c r="J24" s="18" t="n">
        <v>2.41</v>
      </c>
      <c r="K24" s="18" t="n">
        <v>0.25</v>
      </c>
      <c r="L24" s="18" t="n">
        <v>1.98</v>
      </c>
      <c r="M24" s="18" t="n">
        <v>4.5</v>
      </c>
      <c r="N24" s="18" t="n">
        <v>1.03</v>
      </c>
      <c r="O24" s="18" t="n">
        <v>3.52</v>
      </c>
      <c r="P24" s="18" t="n">
        <v>770</v>
      </c>
      <c r="Q24" s="18" t="n">
        <v>3.3</v>
      </c>
      <c r="R24" s="18" t="n">
        <v>1.49</v>
      </c>
      <c r="S24" s="18" t="n">
        <v>27.8</v>
      </c>
    </row>
    <row r="25" ht="19" customHeight="1">
      <c r="A25" s="13" t="inlineStr">
        <is>
          <t>WINE-023</t>
        </is>
      </c>
      <c r="B25" s="14" t="inlineStr">
        <is>
          <t>Piedmont (Barolo Zone)</t>
        </is>
      </c>
      <c r="C25" s="13" t="n">
        <v>2020</v>
      </c>
      <c r="D25" s="15" t="n">
        <v>13.71</v>
      </c>
      <c r="E25" s="15" t="n">
        <v>1.86</v>
      </c>
      <c r="F25" s="15" t="n">
        <v>2.36</v>
      </c>
      <c r="G25" s="15" t="n">
        <v>16.6</v>
      </c>
      <c r="H25" s="15" t="n">
        <v>101</v>
      </c>
      <c r="I25" s="15" t="n">
        <v>2.61</v>
      </c>
      <c r="J25" s="15" t="n">
        <v>2.88</v>
      </c>
      <c r="K25" s="15" t="n">
        <v>0.27</v>
      </c>
      <c r="L25" s="15" t="n">
        <v>1.69</v>
      </c>
      <c r="M25" s="15" t="n">
        <v>3.8</v>
      </c>
      <c r="N25" s="15" t="n">
        <v>1.11</v>
      </c>
      <c r="O25" s="15" t="n">
        <v>4</v>
      </c>
      <c r="P25" s="15" t="n">
        <v>1035</v>
      </c>
      <c r="Q25" s="15" t="n">
        <v>3.21</v>
      </c>
      <c r="R25" s="15" t="n">
        <v>2.95</v>
      </c>
      <c r="S25" s="15" t="n">
        <v>29.8</v>
      </c>
    </row>
    <row r="26" ht="19" customHeight="1">
      <c r="A26" s="16" t="inlineStr">
        <is>
          <t>WINE-024</t>
        </is>
      </c>
      <c r="B26" s="17" t="inlineStr">
        <is>
          <t>Piedmont (Barolo Zone)</t>
        </is>
      </c>
      <c r="C26" s="16" t="n">
        <v>2020</v>
      </c>
      <c r="D26" s="18" t="n">
        <v>12.85</v>
      </c>
      <c r="E26" s="18" t="n">
        <v>1.6</v>
      </c>
      <c r="F26" s="18" t="n">
        <v>2.52</v>
      </c>
      <c r="G26" s="18" t="n">
        <v>17.8</v>
      </c>
      <c r="H26" s="18" t="n">
        <v>95</v>
      </c>
      <c r="I26" s="18" t="n">
        <v>2.48</v>
      </c>
      <c r="J26" s="18" t="n">
        <v>2.37</v>
      </c>
      <c r="K26" s="18" t="n">
        <v>0.26</v>
      </c>
      <c r="L26" s="18" t="n">
        <v>1.46</v>
      </c>
      <c r="M26" s="18" t="n">
        <v>3.93</v>
      </c>
      <c r="N26" s="18" t="n">
        <v>1.09</v>
      </c>
      <c r="O26" s="18" t="n">
        <v>3.63</v>
      </c>
      <c r="P26" s="18" t="n">
        <v>1015</v>
      </c>
      <c r="Q26" s="18" t="n">
        <v>3.51</v>
      </c>
      <c r="R26" s="18" t="n">
        <v>1.55</v>
      </c>
      <c r="S26" s="18" t="n">
        <v>28.5</v>
      </c>
    </row>
    <row r="27" ht="19" customHeight="1">
      <c r="A27" s="13" t="inlineStr">
        <is>
          <t>WINE-025</t>
        </is>
      </c>
      <c r="B27" s="14" t="inlineStr">
        <is>
          <t>Piedmont (Barolo Zone)</t>
        </is>
      </c>
      <c r="C27" s="13" t="n">
        <v>2020</v>
      </c>
      <c r="D27" s="15" t="n">
        <v>13.5</v>
      </c>
      <c r="E27" s="15" t="n">
        <v>1.81</v>
      </c>
      <c r="F27" s="15" t="n">
        <v>2.61</v>
      </c>
      <c r="G27" s="15" t="n">
        <v>20</v>
      </c>
      <c r="H27" s="15" t="n">
        <v>96</v>
      </c>
      <c r="I27" s="15" t="n">
        <v>2.53</v>
      </c>
      <c r="J27" s="15" t="n">
        <v>2.61</v>
      </c>
      <c r="K27" s="15" t="n">
        <v>0.28</v>
      </c>
      <c r="L27" s="15" t="n">
        <v>1.66</v>
      </c>
      <c r="M27" s="15" t="n">
        <v>3.52</v>
      </c>
      <c r="N27" s="15" t="n">
        <v>1.12</v>
      </c>
      <c r="O27" s="15" t="n">
        <v>3.82</v>
      </c>
      <c r="P27" s="15" t="n">
        <v>845</v>
      </c>
      <c r="Q27" s="15" t="n">
        <v>3.25</v>
      </c>
      <c r="R27" s="15" t="n">
        <v>1.71</v>
      </c>
      <c r="S27" s="15" t="n">
        <v>26</v>
      </c>
    </row>
    <row r="28" ht="19" customHeight="1">
      <c r="A28" s="16" t="inlineStr">
        <is>
          <t>WINE-026</t>
        </is>
      </c>
      <c r="B28" s="17" t="inlineStr">
        <is>
          <t>Piedmont (Barolo Zone)</t>
        </is>
      </c>
      <c r="C28" s="16" t="n">
        <v>2021</v>
      </c>
      <c r="D28" s="18" t="n">
        <v>13.05</v>
      </c>
      <c r="E28" s="18" t="n">
        <v>2.05</v>
      </c>
      <c r="F28" s="18" t="n">
        <v>3.22</v>
      </c>
      <c r="G28" s="18" t="n">
        <v>25</v>
      </c>
      <c r="H28" s="18" t="n">
        <v>124</v>
      </c>
      <c r="I28" s="18" t="n">
        <v>2.63</v>
      </c>
      <c r="J28" s="18" t="n">
        <v>2.68</v>
      </c>
      <c r="K28" s="18" t="n">
        <v>0.47</v>
      </c>
      <c r="L28" s="18" t="n">
        <v>1.92</v>
      </c>
      <c r="M28" s="18" t="n">
        <v>3.58</v>
      </c>
      <c r="N28" s="18" t="n">
        <v>1.13</v>
      </c>
      <c r="O28" s="18" t="n">
        <v>3.2</v>
      </c>
      <c r="P28" s="18" t="n">
        <v>830</v>
      </c>
      <c r="Q28" s="18" t="n">
        <v>3.49</v>
      </c>
      <c r="R28" s="18" t="n">
        <v>1.42</v>
      </c>
      <c r="S28" s="18" t="n">
        <v>24.5</v>
      </c>
    </row>
    <row r="29" ht="19" customHeight="1">
      <c r="A29" s="13" t="inlineStr">
        <is>
          <t>WINE-027</t>
        </is>
      </c>
      <c r="B29" s="14" t="inlineStr">
        <is>
          <t>Piedmont (Barolo Zone)</t>
        </is>
      </c>
      <c r="C29" s="13" t="n">
        <v>2019</v>
      </c>
      <c r="D29" s="15" t="n">
        <v>13.39</v>
      </c>
      <c r="E29" s="15" t="n">
        <v>1.77</v>
      </c>
      <c r="F29" s="15" t="n">
        <v>2.62</v>
      </c>
      <c r="G29" s="15" t="n">
        <v>16.1</v>
      </c>
      <c r="H29" s="15" t="n">
        <v>93</v>
      </c>
      <c r="I29" s="15" t="n">
        <v>2.85</v>
      </c>
      <c r="J29" s="15" t="n">
        <v>2.94</v>
      </c>
      <c r="K29" s="15" t="n">
        <v>0.34</v>
      </c>
      <c r="L29" s="15" t="n">
        <v>1.45</v>
      </c>
      <c r="M29" s="15" t="n">
        <v>4.8</v>
      </c>
      <c r="N29" s="15" t="n">
        <v>0.92</v>
      </c>
      <c r="O29" s="15" t="n">
        <v>3.22</v>
      </c>
      <c r="P29" s="15" t="n">
        <v>1195</v>
      </c>
      <c r="Q29" s="15" t="n">
        <v>3.57</v>
      </c>
      <c r="R29" s="15" t="n">
        <v>2.14</v>
      </c>
      <c r="S29" s="15" t="n">
        <v>31.1</v>
      </c>
    </row>
    <row r="30" ht="19" customHeight="1">
      <c r="A30" s="16" t="inlineStr">
        <is>
          <t>WINE-028</t>
        </is>
      </c>
      <c r="B30" s="17" t="inlineStr">
        <is>
          <t>Piedmont (Barolo Zone)</t>
        </is>
      </c>
      <c r="C30" s="16" t="n">
        <v>2020</v>
      </c>
      <c r="D30" s="18" t="n">
        <v>13.3</v>
      </c>
      <c r="E30" s="18" t="n">
        <v>1.72</v>
      </c>
      <c r="F30" s="18" t="n">
        <v>2.14</v>
      </c>
      <c r="G30" s="18" t="n">
        <v>17</v>
      </c>
      <c r="H30" s="18" t="n">
        <v>94</v>
      </c>
      <c r="I30" s="18" t="n">
        <v>2.4</v>
      </c>
      <c r="J30" s="18" t="n">
        <v>2.19</v>
      </c>
      <c r="K30" s="18" t="n">
        <v>0.27</v>
      </c>
      <c r="L30" s="18" t="n">
        <v>1.35</v>
      </c>
      <c r="M30" s="18" t="n">
        <v>3.95</v>
      </c>
      <c r="N30" s="18" t="n">
        <v>1.02</v>
      </c>
      <c r="O30" s="18" t="n">
        <v>2.77</v>
      </c>
      <c r="P30" s="18" t="n">
        <v>1285</v>
      </c>
      <c r="Q30" s="18" t="n">
        <v>3.28</v>
      </c>
      <c r="R30" s="18" t="n">
        <v>0.93</v>
      </c>
      <c r="S30" s="18" t="n">
        <v>26.6</v>
      </c>
    </row>
    <row r="31" ht="19" customHeight="1">
      <c r="A31" s="13" t="inlineStr">
        <is>
          <t>WINE-029</t>
        </is>
      </c>
      <c r="B31" s="14" t="inlineStr">
        <is>
          <t>Piedmont (Barolo Zone)</t>
        </is>
      </c>
      <c r="C31" s="13" t="n">
        <v>2020</v>
      </c>
      <c r="D31" s="15" t="n">
        <v>13.87</v>
      </c>
      <c r="E31" s="15" t="n">
        <v>1.9</v>
      </c>
      <c r="F31" s="15" t="n">
        <v>2.8</v>
      </c>
      <c r="G31" s="15" t="n">
        <v>19.4</v>
      </c>
      <c r="H31" s="15" t="n">
        <v>107</v>
      </c>
      <c r="I31" s="15" t="n">
        <v>2.95</v>
      </c>
      <c r="J31" s="15" t="n">
        <v>2.97</v>
      </c>
      <c r="K31" s="15" t="n">
        <v>0.37</v>
      </c>
      <c r="L31" s="15" t="n">
        <v>1.76</v>
      </c>
      <c r="M31" s="15" t="n">
        <v>4.5</v>
      </c>
      <c r="N31" s="15" t="n">
        <v>1.25</v>
      </c>
      <c r="O31" s="15" t="n">
        <v>3.4</v>
      </c>
      <c r="P31" s="15" t="n">
        <v>915</v>
      </c>
      <c r="Q31" s="15" t="n">
        <v>3.53</v>
      </c>
      <c r="R31" s="15" t="n">
        <v>1.61</v>
      </c>
      <c r="S31" s="15" t="n">
        <v>26.5</v>
      </c>
    </row>
    <row r="32" ht="19" customHeight="1">
      <c r="A32" s="16" t="inlineStr">
        <is>
          <t>WINE-030</t>
        </is>
      </c>
      <c r="B32" s="17" t="inlineStr">
        <is>
          <t>Piedmont (Barolo Zone)</t>
        </is>
      </c>
      <c r="C32" s="16" t="n">
        <v>2019</v>
      </c>
      <c r="D32" s="18" t="n">
        <v>14.02</v>
      </c>
      <c r="E32" s="18" t="n">
        <v>1.68</v>
      </c>
      <c r="F32" s="18" t="n">
        <v>2.21</v>
      </c>
      <c r="G32" s="18" t="n">
        <v>16</v>
      </c>
      <c r="H32" s="18" t="n">
        <v>96</v>
      </c>
      <c r="I32" s="18" t="n">
        <v>2.65</v>
      </c>
      <c r="J32" s="18" t="n">
        <v>2.33</v>
      </c>
      <c r="K32" s="18" t="n">
        <v>0.26</v>
      </c>
      <c r="L32" s="18" t="n">
        <v>1.98</v>
      </c>
      <c r="M32" s="18" t="n">
        <v>4.7</v>
      </c>
      <c r="N32" s="18" t="n">
        <v>1.04</v>
      </c>
      <c r="O32" s="18" t="n">
        <v>3.59</v>
      </c>
      <c r="P32" s="18" t="n">
        <v>1035</v>
      </c>
      <c r="Q32" s="18" t="n">
        <v>3.46</v>
      </c>
      <c r="R32" s="18" t="n">
        <v>2.25</v>
      </c>
      <c r="S32" s="18" t="n">
        <v>26.5</v>
      </c>
    </row>
    <row r="33" ht="19" customHeight="1">
      <c r="A33" s="13" t="inlineStr">
        <is>
          <t>WINE-031</t>
        </is>
      </c>
      <c r="B33" s="14" t="inlineStr">
        <is>
          <t>Piedmont (Barolo Zone)</t>
        </is>
      </c>
      <c r="C33" s="13" t="n">
        <v>2021</v>
      </c>
      <c r="D33" s="15" t="n">
        <v>13.73</v>
      </c>
      <c r="E33" s="15" t="n">
        <v>1.5</v>
      </c>
      <c r="F33" s="15" t="n">
        <v>2.7</v>
      </c>
      <c r="G33" s="15" t="n">
        <v>22.5</v>
      </c>
      <c r="H33" s="15" t="n">
        <v>101</v>
      </c>
      <c r="I33" s="15" t="n">
        <v>3</v>
      </c>
      <c r="J33" s="15" t="n">
        <v>3.25</v>
      </c>
      <c r="K33" s="15" t="n">
        <v>0.29</v>
      </c>
      <c r="L33" s="15" t="n">
        <v>2.38</v>
      </c>
      <c r="M33" s="15" t="n">
        <v>5.7</v>
      </c>
      <c r="N33" s="15" t="n">
        <v>1.19</v>
      </c>
      <c r="O33" s="15" t="n">
        <v>2.71</v>
      </c>
      <c r="P33" s="15" t="n">
        <v>1285</v>
      </c>
      <c r="Q33" s="15" t="n">
        <v>3.54</v>
      </c>
      <c r="R33" s="15" t="n">
        <v>2.01</v>
      </c>
      <c r="S33" s="15" t="n">
        <v>26.9</v>
      </c>
    </row>
    <row r="34" ht="19" customHeight="1">
      <c r="A34" s="16" t="inlineStr">
        <is>
          <t>WINE-032</t>
        </is>
      </c>
      <c r="B34" s="17" t="inlineStr">
        <is>
          <t>Piedmont (Barolo Zone)</t>
        </is>
      </c>
      <c r="C34" s="16" t="n">
        <v>2019</v>
      </c>
      <c r="D34" s="18" t="n">
        <v>13.58</v>
      </c>
      <c r="E34" s="18" t="n">
        <v>1.66</v>
      </c>
      <c r="F34" s="18" t="n">
        <v>2.36</v>
      </c>
      <c r="G34" s="18" t="n">
        <v>19.1</v>
      </c>
      <c r="H34" s="18" t="n">
        <v>106</v>
      </c>
      <c r="I34" s="18" t="n">
        <v>2.86</v>
      </c>
      <c r="J34" s="18" t="n">
        <v>3.19</v>
      </c>
      <c r="K34" s="18" t="n">
        <v>0.22</v>
      </c>
      <c r="L34" s="18" t="n">
        <v>1.95</v>
      </c>
      <c r="M34" s="18" t="n">
        <v>6.9</v>
      </c>
      <c r="N34" s="18" t="n">
        <v>1.09</v>
      </c>
      <c r="O34" s="18" t="n">
        <v>2.88</v>
      </c>
      <c r="P34" s="18" t="n">
        <v>1515</v>
      </c>
      <c r="Q34" s="18" t="n">
        <v>3.69</v>
      </c>
      <c r="R34" s="18" t="n">
        <v>1.75</v>
      </c>
      <c r="S34" s="18" t="n">
        <v>26.2</v>
      </c>
    </row>
    <row r="35" ht="19" customHeight="1">
      <c r="A35" s="13" t="inlineStr">
        <is>
          <t>WINE-033</t>
        </is>
      </c>
      <c r="B35" s="14" t="inlineStr">
        <is>
          <t>Piedmont (Barolo Zone)</t>
        </is>
      </c>
      <c r="C35" s="13" t="n">
        <v>2019</v>
      </c>
      <c r="D35" s="15" t="n">
        <v>13.68</v>
      </c>
      <c r="E35" s="15" t="n">
        <v>1.83</v>
      </c>
      <c r="F35" s="15" t="n">
        <v>2.36</v>
      </c>
      <c r="G35" s="15" t="n">
        <v>17.2</v>
      </c>
      <c r="H35" s="15" t="n">
        <v>104</v>
      </c>
      <c r="I35" s="15" t="n">
        <v>2.42</v>
      </c>
      <c r="J35" s="15" t="n">
        <v>2.69</v>
      </c>
      <c r="K35" s="15" t="n">
        <v>0.42</v>
      </c>
      <c r="L35" s="15" t="n">
        <v>1.97</v>
      </c>
      <c r="M35" s="15" t="n">
        <v>3.84</v>
      </c>
      <c r="N35" s="15" t="n">
        <v>1.23</v>
      </c>
      <c r="O35" s="15" t="n">
        <v>2.87</v>
      </c>
      <c r="P35" s="15" t="n">
        <v>990</v>
      </c>
      <c r="Q35" s="15" t="n">
        <v>3.35</v>
      </c>
      <c r="R35" s="15" t="n">
        <v>1.76</v>
      </c>
      <c r="S35" s="15" t="n">
        <v>25.5</v>
      </c>
    </row>
    <row r="36" ht="19" customHeight="1">
      <c r="A36" s="16" t="inlineStr">
        <is>
          <t>WINE-034</t>
        </is>
      </c>
      <c r="B36" s="17" t="inlineStr">
        <is>
          <t>Piedmont (Barolo Zone)</t>
        </is>
      </c>
      <c r="C36" s="16" t="n">
        <v>2022</v>
      </c>
      <c r="D36" s="18" t="n">
        <v>13.76</v>
      </c>
      <c r="E36" s="18" t="n">
        <v>1.53</v>
      </c>
      <c r="F36" s="18" t="n">
        <v>2.7</v>
      </c>
      <c r="G36" s="18" t="n">
        <v>19.5</v>
      </c>
      <c r="H36" s="18" t="n">
        <v>132</v>
      </c>
      <c r="I36" s="18" t="n">
        <v>2.95</v>
      </c>
      <c r="J36" s="18" t="n">
        <v>2.74</v>
      </c>
      <c r="K36" s="18" t="n">
        <v>0.5</v>
      </c>
      <c r="L36" s="18" t="n">
        <v>1.35</v>
      </c>
      <c r="M36" s="18" t="n">
        <v>5.4</v>
      </c>
      <c r="N36" s="18" t="n">
        <v>1.25</v>
      </c>
      <c r="O36" s="18" t="n">
        <v>3</v>
      </c>
      <c r="P36" s="18" t="n">
        <v>1235</v>
      </c>
      <c r="Q36" s="18" t="n">
        <v>3.3</v>
      </c>
      <c r="R36" s="18" t="n">
        <v>2.39</v>
      </c>
      <c r="S36" s="18" t="n">
        <v>25.5</v>
      </c>
    </row>
    <row r="37" ht="19" customHeight="1">
      <c r="A37" s="13" t="inlineStr">
        <is>
          <t>WINE-035</t>
        </is>
      </c>
      <c r="B37" s="14" t="inlineStr">
        <is>
          <t>Piedmont (Barolo Zone)</t>
        </is>
      </c>
      <c r="C37" s="13" t="n">
        <v>2022</v>
      </c>
      <c r="D37" s="15" t="n">
        <v>13.51</v>
      </c>
      <c r="E37" s="15" t="n">
        <v>1.8</v>
      </c>
      <c r="F37" s="15" t="n">
        <v>2.65</v>
      </c>
      <c r="G37" s="15" t="n">
        <v>19</v>
      </c>
      <c r="H37" s="15" t="n">
        <v>110</v>
      </c>
      <c r="I37" s="15" t="n">
        <v>2.35</v>
      </c>
      <c r="J37" s="15" t="n">
        <v>2.53</v>
      </c>
      <c r="K37" s="15" t="n">
        <v>0.29</v>
      </c>
      <c r="L37" s="15" t="n">
        <v>1.54</v>
      </c>
      <c r="M37" s="15" t="n">
        <v>4.2</v>
      </c>
      <c r="N37" s="15" t="n">
        <v>1.1</v>
      </c>
      <c r="O37" s="15" t="n">
        <v>2.87</v>
      </c>
      <c r="P37" s="15" t="n">
        <v>1095</v>
      </c>
      <c r="Q37" s="15" t="n">
        <v>3.26</v>
      </c>
      <c r="R37" s="15" t="n">
        <v>5.71</v>
      </c>
      <c r="S37" s="15" t="n">
        <v>26.4</v>
      </c>
    </row>
    <row r="38" ht="19" customHeight="1">
      <c r="A38" s="16" t="inlineStr">
        <is>
          <t>WINE-036</t>
        </is>
      </c>
      <c r="B38" s="17" t="inlineStr">
        <is>
          <t>Piedmont (Barolo Zone)</t>
        </is>
      </c>
      <c r="C38" s="16" t="n">
        <v>2021</v>
      </c>
      <c r="D38" s="18" t="n">
        <v>13.48</v>
      </c>
      <c r="E38" s="18" t="n">
        <v>1.81</v>
      </c>
      <c r="F38" s="18" t="n">
        <v>2.41</v>
      </c>
      <c r="G38" s="18" t="n">
        <v>20.5</v>
      </c>
      <c r="H38" s="18" t="n">
        <v>100</v>
      </c>
      <c r="I38" s="18" t="n">
        <v>2.7</v>
      </c>
      <c r="J38" s="18" t="n">
        <v>2.98</v>
      </c>
      <c r="K38" s="18" t="n">
        <v>0.26</v>
      </c>
      <c r="L38" s="18" t="n">
        <v>1.86</v>
      </c>
      <c r="M38" s="18" t="n">
        <v>5.1</v>
      </c>
      <c r="N38" s="18" t="n">
        <v>1.04</v>
      </c>
      <c r="O38" s="18" t="n">
        <v>3.47</v>
      </c>
      <c r="P38" s="18" t="n">
        <v>920</v>
      </c>
      <c r="Q38" s="18" t="n">
        <v>3.27</v>
      </c>
      <c r="R38" s="18" t="n">
        <v>0.98</v>
      </c>
      <c r="S38" s="18" t="n">
        <v>25.5</v>
      </c>
    </row>
    <row r="39" ht="19" customHeight="1">
      <c r="A39" s="13" t="inlineStr">
        <is>
          <t>WINE-037</t>
        </is>
      </c>
      <c r="B39" s="14" t="inlineStr">
        <is>
          <t>Piedmont (Barolo Zone)</t>
        </is>
      </c>
      <c r="C39" s="13" t="n">
        <v>2020</v>
      </c>
      <c r="D39" s="15" t="n">
        <v>13.28</v>
      </c>
      <c r="E39" s="15" t="n">
        <v>1.64</v>
      </c>
      <c r="F39" s="15" t="n">
        <v>2.84</v>
      </c>
      <c r="G39" s="15" t="n">
        <v>15.5</v>
      </c>
      <c r="H39" s="15" t="n">
        <v>110</v>
      </c>
      <c r="I39" s="15" t="n">
        <v>2.6</v>
      </c>
      <c r="J39" s="15" t="n">
        <v>2.68</v>
      </c>
      <c r="K39" s="15" t="n">
        <v>0.34</v>
      </c>
      <c r="L39" s="15" t="n">
        <v>1.36</v>
      </c>
      <c r="M39" s="15" t="n">
        <v>4.6</v>
      </c>
      <c r="N39" s="15" t="n">
        <v>1.09</v>
      </c>
      <c r="O39" s="15" t="n">
        <v>2.78</v>
      </c>
      <c r="P39" s="15" t="n">
        <v>880</v>
      </c>
      <c r="Q39" s="15" t="n">
        <v>3.39</v>
      </c>
      <c r="R39" s="15" t="n">
        <v>5.8</v>
      </c>
      <c r="S39" s="15" t="n">
        <v>25.2</v>
      </c>
    </row>
    <row r="40" ht="19" customHeight="1">
      <c r="A40" s="16" t="inlineStr">
        <is>
          <t>WINE-038</t>
        </is>
      </c>
      <c r="B40" s="17" t="inlineStr">
        <is>
          <t>Piedmont (Barolo Zone)</t>
        </is>
      </c>
      <c r="C40" s="16" t="n">
        <v>2019</v>
      </c>
      <c r="D40" s="18" t="n">
        <v>13.05</v>
      </c>
      <c r="E40" s="18" t="n">
        <v>1.65</v>
      </c>
      <c r="F40" s="18" t="n">
        <v>2.55</v>
      </c>
      <c r="G40" s="18" t="n">
        <v>18</v>
      </c>
      <c r="H40" s="18" t="n">
        <v>98</v>
      </c>
      <c r="I40" s="18" t="n">
        <v>2.45</v>
      </c>
      <c r="J40" s="18" t="n">
        <v>2.43</v>
      </c>
      <c r="K40" s="18" t="n">
        <v>0.29</v>
      </c>
      <c r="L40" s="18" t="n">
        <v>1.44</v>
      </c>
      <c r="M40" s="18" t="n">
        <v>4.25</v>
      </c>
      <c r="N40" s="18" t="n">
        <v>1.12</v>
      </c>
      <c r="O40" s="18" t="n">
        <v>2.51</v>
      </c>
      <c r="P40" s="18" t="n">
        <v>1105</v>
      </c>
      <c r="Q40" s="18" t="n">
        <v>3.46</v>
      </c>
      <c r="R40" s="18" t="n">
        <v>0.95</v>
      </c>
      <c r="S40" s="18" t="n">
        <v>26.7</v>
      </c>
    </row>
    <row r="41" ht="19" customHeight="1">
      <c r="A41" s="13" t="inlineStr">
        <is>
          <t>WINE-039</t>
        </is>
      </c>
      <c r="B41" s="14" t="inlineStr">
        <is>
          <t>Piedmont (Barolo Zone)</t>
        </is>
      </c>
      <c r="C41" s="13" t="n">
        <v>2021</v>
      </c>
      <c r="D41" s="15" t="n">
        <v>13.07</v>
      </c>
      <c r="E41" s="15" t="n">
        <v>1.5</v>
      </c>
      <c r="F41" s="15" t="n">
        <v>2.1</v>
      </c>
      <c r="G41" s="15" t="n">
        <v>15.5</v>
      </c>
      <c r="H41" s="15" t="n">
        <v>98</v>
      </c>
      <c r="I41" s="15" t="n">
        <v>2.4</v>
      </c>
      <c r="J41" s="15" t="n">
        <v>2.64</v>
      </c>
      <c r="K41" s="15" t="n">
        <v>0.28</v>
      </c>
      <c r="L41" s="15" t="n">
        <v>1.37</v>
      </c>
      <c r="M41" s="15" t="n">
        <v>3.7</v>
      </c>
      <c r="N41" s="15" t="n">
        <v>1.18</v>
      </c>
      <c r="O41" s="15" t="n">
        <v>2.69</v>
      </c>
      <c r="P41" s="15" t="n">
        <v>1020</v>
      </c>
      <c r="Q41" s="15" t="n">
        <v>3.46</v>
      </c>
      <c r="R41" s="15" t="n">
        <v>0.24</v>
      </c>
      <c r="S41" s="15" t="n">
        <v>26</v>
      </c>
    </row>
    <row r="42" ht="19" customHeight="1">
      <c r="A42" s="16" t="inlineStr">
        <is>
          <t>WINE-040</t>
        </is>
      </c>
      <c r="B42" s="17" t="inlineStr">
        <is>
          <t>Piedmont (Barolo Zone)</t>
        </is>
      </c>
      <c r="C42" s="16" t="n">
        <v>2020</v>
      </c>
      <c r="D42" s="18" t="n">
        <v>14.22</v>
      </c>
      <c r="E42" s="18" t="n">
        <v>3.99</v>
      </c>
      <c r="F42" s="18" t="n">
        <v>2.51</v>
      </c>
      <c r="G42" s="18" t="n">
        <v>13.2</v>
      </c>
      <c r="H42" s="18" t="n">
        <v>128</v>
      </c>
      <c r="I42" s="18" t="n">
        <v>3</v>
      </c>
      <c r="J42" s="18" t="n">
        <v>3.04</v>
      </c>
      <c r="K42" s="18" t="n">
        <v>0.2</v>
      </c>
      <c r="L42" s="18" t="n">
        <v>2.08</v>
      </c>
      <c r="M42" s="18" t="n">
        <v>5.1</v>
      </c>
      <c r="N42" s="18" t="n">
        <v>0.89</v>
      </c>
      <c r="O42" s="18" t="n">
        <v>3.53</v>
      </c>
      <c r="P42" s="18" t="n">
        <v>760</v>
      </c>
      <c r="Q42" s="18" t="n">
        <v>3.34</v>
      </c>
      <c r="R42" s="18" t="n">
        <v>1.19</v>
      </c>
      <c r="S42" s="18" t="n">
        <v>29.2</v>
      </c>
    </row>
    <row r="43" ht="19" customHeight="1">
      <c r="A43" s="13" t="inlineStr">
        <is>
          <t>WINE-041</t>
        </is>
      </c>
      <c r="B43" s="14" t="inlineStr">
        <is>
          <t>Piedmont (Barolo Zone)</t>
        </is>
      </c>
      <c r="C43" s="13" t="n">
        <v>2019</v>
      </c>
      <c r="D43" s="15" t="n">
        <v>13.56</v>
      </c>
      <c r="E43" s="15" t="n">
        <v>1.71</v>
      </c>
      <c r="F43" s="15" t="n">
        <v>2.31</v>
      </c>
      <c r="G43" s="15" t="n">
        <v>16.2</v>
      </c>
      <c r="H43" s="15" t="n">
        <v>117</v>
      </c>
      <c r="I43" s="15" t="n">
        <v>3.15</v>
      </c>
      <c r="J43" s="15" t="n">
        <v>3.29</v>
      </c>
      <c r="K43" s="15" t="n">
        <v>0.34</v>
      </c>
      <c r="L43" s="15" t="n">
        <v>2.34</v>
      </c>
      <c r="M43" s="15" t="n">
        <v>6.13</v>
      </c>
      <c r="N43" s="15" t="n">
        <v>0.95</v>
      </c>
      <c r="O43" s="15" t="n">
        <v>3.38</v>
      </c>
      <c r="P43" s="15" t="n">
        <v>795</v>
      </c>
      <c r="Q43" s="15" t="n">
        <v>3.4</v>
      </c>
      <c r="R43" s="15" t="n">
        <v>2.17</v>
      </c>
      <c r="S43" s="15" t="n">
        <v>21.7</v>
      </c>
    </row>
    <row r="44" ht="19" customHeight="1">
      <c r="A44" s="16" t="inlineStr">
        <is>
          <t>WINE-042</t>
        </is>
      </c>
      <c r="B44" s="17" t="inlineStr">
        <is>
          <t>Piedmont (Barolo Zone)</t>
        </is>
      </c>
      <c r="C44" s="16" t="n">
        <v>2020</v>
      </c>
      <c r="D44" s="18" t="n">
        <v>13.41</v>
      </c>
      <c r="E44" s="18" t="n">
        <v>3.84</v>
      </c>
      <c r="F44" s="18" t="n">
        <v>2.12</v>
      </c>
      <c r="G44" s="18" t="n">
        <v>18.8</v>
      </c>
      <c r="H44" s="18" t="n">
        <v>90</v>
      </c>
      <c r="I44" s="18" t="n">
        <v>2.45</v>
      </c>
      <c r="J44" s="18" t="n">
        <v>2.68</v>
      </c>
      <c r="K44" s="18" t="n">
        <v>0.27</v>
      </c>
      <c r="L44" s="18" t="n">
        <v>1.48</v>
      </c>
      <c r="M44" s="18" t="n">
        <v>4.28</v>
      </c>
      <c r="N44" s="18" t="n">
        <v>0.91</v>
      </c>
      <c r="O44" s="18" t="n">
        <v>3</v>
      </c>
      <c r="P44" s="18" t="n">
        <v>1035</v>
      </c>
      <c r="Q44" s="18" t="n">
        <v>3.45</v>
      </c>
      <c r="R44" s="18" t="n">
        <v>5.01</v>
      </c>
      <c r="S44" s="18" t="n">
        <v>28.5</v>
      </c>
    </row>
    <row r="45" ht="19" customHeight="1">
      <c r="A45" s="13" t="inlineStr">
        <is>
          <t>WINE-043</t>
        </is>
      </c>
      <c r="B45" s="14" t="inlineStr">
        <is>
          <t>Piedmont (Barolo Zone)</t>
        </is>
      </c>
      <c r="C45" s="13" t="n">
        <v>2019</v>
      </c>
      <c r="D45" s="15" t="n">
        <v>13.88</v>
      </c>
      <c r="E45" s="15" t="n">
        <v>1.89</v>
      </c>
      <c r="F45" s="15" t="n">
        <v>2.59</v>
      </c>
      <c r="G45" s="15" t="n">
        <v>15</v>
      </c>
      <c r="H45" s="15" t="n">
        <v>101</v>
      </c>
      <c r="I45" s="15" t="n">
        <v>3.25</v>
      </c>
      <c r="J45" s="15" t="n">
        <v>3.56</v>
      </c>
      <c r="K45" s="15" t="n">
        <v>0.17</v>
      </c>
      <c r="L45" s="15" t="n">
        <v>1.7</v>
      </c>
      <c r="M45" s="15" t="n">
        <v>5.43</v>
      </c>
      <c r="N45" s="15" t="n">
        <v>0.88</v>
      </c>
      <c r="O45" s="15" t="n">
        <v>3.56</v>
      </c>
      <c r="P45" s="15" t="n">
        <v>1095</v>
      </c>
      <c r="Q45" s="15" t="n">
        <v>3.35</v>
      </c>
      <c r="R45" s="15" t="n">
        <v>0.88</v>
      </c>
      <c r="S45" s="15" t="n">
        <v>28.7</v>
      </c>
    </row>
    <row r="46" ht="19" customHeight="1">
      <c r="A46" s="16" t="inlineStr">
        <is>
          <t>WINE-044</t>
        </is>
      </c>
      <c r="B46" s="17" t="inlineStr">
        <is>
          <t>Piedmont (Barolo Zone)</t>
        </is>
      </c>
      <c r="C46" s="16" t="n">
        <v>2022</v>
      </c>
      <c r="D46" s="18" t="n">
        <v>13.24</v>
      </c>
      <c r="E46" s="18" t="n">
        <v>3.98</v>
      </c>
      <c r="F46" s="18" t="n">
        <v>2.29</v>
      </c>
      <c r="G46" s="18" t="n">
        <v>17.5</v>
      </c>
      <c r="H46" s="18" t="n">
        <v>103</v>
      </c>
      <c r="I46" s="18" t="n">
        <v>2.64</v>
      </c>
      <c r="J46" s="18" t="n">
        <v>2.63</v>
      </c>
      <c r="K46" s="18" t="n">
        <v>0.32</v>
      </c>
      <c r="L46" s="18" t="n">
        <v>1.66</v>
      </c>
      <c r="M46" s="18" t="n">
        <v>4.36</v>
      </c>
      <c r="N46" s="18" t="n">
        <v>0.82</v>
      </c>
      <c r="O46" s="18" t="n">
        <v>3</v>
      </c>
      <c r="P46" s="18" t="n">
        <v>680</v>
      </c>
      <c r="Q46" s="18" t="n">
        <v>3.63</v>
      </c>
      <c r="R46" s="18" t="n">
        <v>2.38</v>
      </c>
      <c r="S46" s="18" t="n">
        <v>22.8</v>
      </c>
    </row>
    <row r="47" ht="19" customHeight="1">
      <c r="A47" s="13" t="inlineStr">
        <is>
          <t>WINE-045</t>
        </is>
      </c>
      <c r="B47" s="14" t="inlineStr">
        <is>
          <t>Piedmont (Barolo Zone)</t>
        </is>
      </c>
      <c r="C47" s="13" t="n">
        <v>2020</v>
      </c>
      <c r="D47" s="15" t="n">
        <v>13.05</v>
      </c>
      <c r="E47" s="15" t="n">
        <v>1.77</v>
      </c>
      <c r="F47" s="15" t="n">
        <v>2.1</v>
      </c>
      <c r="G47" s="15" t="n">
        <v>17</v>
      </c>
      <c r="H47" s="15" t="n">
        <v>107</v>
      </c>
      <c r="I47" s="15" t="n">
        <v>3</v>
      </c>
      <c r="J47" s="15" t="n">
        <v>3</v>
      </c>
      <c r="K47" s="15" t="n">
        <v>0.28</v>
      </c>
      <c r="L47" s="15" t="n">
        <v>2.03</v>
      </c>
      <c r="M47" s="15" t="n">
        <v>5.04</v>
      </c>
      <c r="N47" s="15" t="n">
        <v>0.88</v>
      </c>
      <c r="O47" s="15" t="n">
        <v>3.35</v>
      </c>
      <c r="P47" s="15" t="n">
        <v>885</v>
      </c>
      <c r="Q47" s="15" t="n">
        <v>3.49</v>
      </c>
      <c r="R47" s="15" t="n">
        <v>0.6</v>
      </c>
      <c r="S47" s="15" t="n">
        <v>25.9</v>
      </c>
    </row>
    <row r="48" ht="19" customHeight="1">
      <c r="A48" s="16" t="inlineStr">
        <is>
          <t>WINE-046</t>
        </is>
      </c>
      <c r="B48" s="17" t="inlineStr">
        <is>
          <t>Piedmont (Barolo Zone)</t>
        </is>
      </c>
      <c r="C48" s="16" t="n">
        <v>2021</v>
      </c>
      <c r="D48" s="18" t="n">
        <v>14.21</v>
      </c>
      <c r="E48" s="18" t="n">
        <v>4.04</v>
      </c>
      <c r="F48" s="18" t="n">
        <v>2.44</v>
      </c>
      <c r="G48" s="18" t="n">
        <v>18.9</v>
      </c>
      <c r="H48" s="18" t="n">
        <v>111</v>
      </c>
      <c r="I48" s="18" t="n">
        <v>2.85</v>
      </c>
      <c r="J48" s="18" t="n">
        <v>2.65</v>
      </c>
      <c r="K48" s="18" t="n">
        <v>0.3</v>
      </c>
      <c r="L48" s="18" t="n">
        <v>1.25</v>
      </c>
      <c r="M48" s="18" t="n">
        <v>5.24</v>
      </c>
      <c r="N48" s="18" t="n">
        <v>0.87</v>
      </c>
      <c r="O48" s="18" t="n">
        <v>3.33</v>
      </c>
      <c r="P48" s="18" t="n">
        <v>1080</v>
      </c>
      <c r="Q48" s="18" t="n">
        <v>3.09</v>
      </c>
      <c r="R48" s="18" t="n">
        <v>4.91</v>
      </c>
      <c r="S48" s="18" t="n">
        <v>25.8</v>
      </c>
    </row>
    <row r="49" ht="19" customHeight="1">
      <c r="A49" s="13" t="inlineStr">
        <is>
          <t>WINE-047</t>
        </is>
      </c>
      <c r="B49" s="14" t="inlineStr">
        <is>
          <t>Piedmont (Barolo Zone)</t>
        </is>
      </c>
      <c r="C49" s="13" t="n">
        <v>2020</v>
      </c>
      <c r="D49" s="15" t="n">
        <v>14.38</v>
      </c>
      <c r="E49" s="15" t="n">
        <v>3.59</v>
      </c>
      <c r="F49" s="15" t="n">
        <v>2.28</v>
      </c>
      <c r="G49" s="15" t="n">
        <v>16</v>
      </c>
      <c r="H49" s="15" t="n">
        <v>102</v>
      </c>
      <c r="I49" s="15" t="n">
        <v>3.25</v>
      </c>
      <c r="J49" s="15" t="n">
        <v>3.17</v>
      </c>
      <c r="K49" s="15" t="n">
        <v>0.27</v>
      </c>
      <c r="L49" s="15" t="n">
        <v>2.19</v>
      </c>
      <c r="M49" s="15" t="n">
        <v>4.9</v>
      </c>
      <c r="N49" s="15" t="n">
        <v>1.04</v>
      </c>
      <c r="O49" s="15" t="n">
        <v>3.44</v>
      </c>
      <c r="P49" s="15" t="n">
        <v>1065</v>
      </c>
      <c r="Q49" s="15" t="n">
        <v>3.09</v>
      </c>
      <c r="R49" s="15" t="n">
        <v>3.53</v>
      </c>
      <c r="S49" s="15" t="n">
        <v>24</v>
      </c>
    </row>
    <row r="50" ht="19" customHeight="1">
      <c r="A50" s="16" t="inlineStr">
        <is>
          <t>WINE-048</t>
        </is>
      </c>
      <c r="B50" s="17" t="inlineStr">
        <is>
          <t>Piedmont (Barolo Zone)</t>
        </is>
      </c>
      <c r="C50" s="16" t="n">
        <v>2020</v>
      </c>
      <c r="D50" s="18" t="n">
        <v>13.9</v>
      </c>
      <c r="E50" s="18" t="n">
        <v>1.68</v>
      </c>
      <c r="F50" s="18" t="n">
        <v>2.12</v>
      </c>
      <c r="G50" s="18" t="n">
        <v>16</v>
      </c>
      <c r="H50" s="18" t="n">
        <v>101</v>
      </c>
      <c r="I50" s="18" t="n">
        <v>3.1</v>
      </c>
      <c r="J50" s="18" t="n">
        <v>3.39</v>
      </c>
      <c r="K50" s="18" t="n">
        <v>0.21</v>
      </c>
      <c r="L50" s="18" t="n">
        <v>2.14</v>
      </c>
      <c r="M50" s="18" t="n">
        <v>6.1</v>
      </c>
      <c r="N50" s="18" t="n">
        <v>0.91</v>
      </c>
      <c r="O50" s="18" t="n">
        <v>3.33</v>
      </c>
      <c r="P50" s="18" t="n">
        <v>985</v>
      </c>
      <c r="Q50" s="18" t="n">
        <v>3.47</v>
      </c>
      <c r="R50" s="18" t="n">
        <v>1.24</v>
      </c>
      <c r="S50" s="18" t="n">
        <v>25.1</v>
      </c>
    </row>
    <row r="51" ht="19" customHeight="1">
      <c r="A51" s="13" t="inlineStr">
        <is>
          <t>WINE-049</t>
        </is>
      </c>
      <c r="B51" s="14" t="inlineStr">
        <is>
          <t>Piedmont (Barolo Zone)</t>
        </is>
      </c>
      <c r="C51" s="13" t="n">
        <v>2020</v>
      </c>
      <c r="D51" s="15" t="n">
        <v>14.1</v>
      </c>
      <c r="E51" s="15" t="n">
        <v>2.02</v>
      </c>
      <c r="F51" s="15" t="n">
        <v>2.4</v>
      </c>
      <c r="G51" s="15" t="n">
        <v>18.8</v>
      </c>
      <c r="H51" s="15" t="n">
        <v>103</v>
      </c>
      <c r="I51" s="15" t="n">
        <v>2.75</v>
      </c>
      <c r="J51" s="15" t="n">
        <v>2.92</v>
      </c>
      <c r="K51" s="15" t="n">
        <v>0.32</v>
      </c>
      <c r="L51" s="15" t="n">
        <v>2.38</v>
      </c>
      <c r="M51" s="15" t="n">
        <v>6.2</v>
      </c>
      <c r="N51" s="15" t="n">
        <v>1.07</v>
      </c>
      <c r="O51" s="15" t="n">
        <v>2.75</v>
      </c>
      <c r="P51" s="15" t="n">
        <v>1060</v>
      </c>
      <c r="Q51" s="15" t="n">
        <v>3.34</v>
      </c>
      <c r="R51" s="15" t="n">
        <v>3.87</v>
      </c>
      <c r="S51" s="15" t="n">
        <v>24.5</v>
      </c>
    </row>
    <row r="52" ht="19" customHeight="1">
      <c r="A52" s="16" t="inlineStr">
        <is>
          <t>WINE-050</t>
        </is>
      </c>
      <c r="B52" s="17" t="inlineStr">
        <is>
          <t>Piedmont (Barolo Zone)</t>
        </is>
      </c>
      <c r="C52" s="16" t="n">
        <v>2019</v>
      </c>
      <c r="D52" s="18" t="n">
        <v>13.94</v>
      </c>
      <c r="E52" s="18" t="n">
        <v>1.73</v>
      </c>
      <c r="F52" s="18" t="n">
        <v>2.27</v>
      </c>
      <c r="G52" s="18" t="n">
        <v>17.4</v>
      </c>
      <c r="H52" s="18" t="n">
        <v>108</v>
      </c>
      <c r="I52" s="18" t="n">
        <v>2.88</v>
      </c>
      <c r="J52" s="18" t="n">
        <v>3.54</v>
      </c>
      <c r="K52" s="18" t="n">
        <v>0.32</v>
      </c>
      <c r="L52" s="18" t="n">
        <v>2.08</v>
      </c>
      <c r="M52" s="18" t="n">
        <v>8.9</v>
      </c>
      <c r="N52" s="18" t="n">
        <v>1.12</v>
      </c>
      <c r="O52" s="18" t="n">
        <v>3.1</v>
      </c>
      <c r="P52" s="18" t="n">
        <v>1260</v>
      </c>
      <c r="Q52" s="18" t="n">
        <v>3.51</v>
      </c>
      <c r="R52" s="18" t="n">
        <v>1.6</v>
      </c>
      <c r="S52" s="18" t="n">
        <v>29.7</v>
      </c>
    </row>
    <row r="53" ht="19" customHeight="1">
      <c r="A53" s="13" t="inlineStr">
        <is>
          <t>WINE-051</t>
        </is>
      </c>
      <c r="B53" s="14" t="inlineStr">
        <is>
          <t>Piedmont (Barolo Zone)</t>
        </is>
      </c>
      <c r="C53" s="13" t="n">
        <v>2022</v>
      </c>
      <c r="D53" s="15" t="n">
        <v>13.05</v>
      </c>
      <c r="E53" s="15" t="n">
        <v>1.73</v>
      </c>
      <c r="F53" s="15" t="n">
        <v>2.04</v>
      </c>
      <c r="G53" s="15" t="n">
        <v>12.4</v>
      </c>
      <c r="H53" s="15" t="n">
        <v>92</v>
      </c>
      <c r="I53" s="15" t="n">
        <v>2.72</v>
      </c>
      <c r="J53" s="15" t="n">
        <v>3.27</v>
      </c>
      <c r="K53" s="15" t="n">
        <v>0.17</v>
      </c>
      <c r="L53" s="15" t="n">
        <v>2.91</v>
      </c>
      <c r="M53" s="15" t="n">
        <v>7.2</v>
      </c>
      <c r="N53" s="15" t="n">
        <v>1.12</v>
      </c>
      <c r="O53" s="15" t="n">
        <v>2.91</v>
      </c>
      <c r="P53" s="15" t="n">
        <v>1150</v>
      </c>
      <c r="Q53" s="15" t="n">
        <v>3.47</v>
      </c>
      <c r="R53" s="15" t="n">
        <v>3.64</v>
      </c>
      <c r="S53" s="15" t="n">
        <v>28.2</v>
      </c>
    </row>
    <row r="54" ht="19" customHeight="1">
      <c r="A54" s="16" t="inlineStr">
        <is>
          <t>WINE-052</t>
        </is>
      </c>
      <c r="B54" s="17" t="inlineStr">
        <is>
          <t>Piedmont (Barolo Zone)</t>
        </is>
      </c>
      <c r="C54" s="16" t="n">
        <v>2021</v>
      </c>
      <c r="D54" s="18" t="n">
        <v>13.83</v>
      </c>
      <c r="E54" s="18" t="n">
        <v>1.65</v>
      </c>
      <c r="F54" s="18" t="n">
        <v>2.6</v>
      </c>
      <c r="G54" s="18" t="n">
        <v>17.2</v>
      </c>
      <c r="H54" s="18" t="n">
        <v>94</v>
      </c>
      <c r="I54" s="18" t="n">
        <v>2.45</v>
      </c>
      <c r="J54" s="18" t="n">
        <v>2.99</v>
      </c>
      <c r="K54" s="18" t="n">
        <v>0.22</v>
      </c>
      <c r="L54" s="18" t="n">
        <v>2.29</v>
      </c>
      <c r="M54" s="18" t="n">
        <v>5.6</v>
      </c>
      <c r="N54" s="18" t="n">
        <v>1.24</v>
      </c>
      <c r="O54" s="18" t="n">
        <v>3.37</v>
      </c>
      <c r="P54" s="18" t="n">
        <v>1265</v>
      </c>
      <c r="Q54" s="18" t="n">
        <v>3.39</v>
      </c>
      <c r="R54" s="18" t="n">
        <v>1.74</v>
      </c>
      <c r="S54" s="18" t="n">
        <v>28.8</v>
      </c>
    </row>
    <row r="55" ht="19" customHeight="1">
      <c r="A55" s="13" t="inlineStr">
        <is>
          <t>WINE-053</t>
        </is>
      </c>
      <c r="B55" s="14" t="inlineStr">
        <is>
          <t>Piedmont (Barolo Zone)</t>
        </is>
      </c>
      <c r="C55" s="13" t="n">
        <v>2022</v>
      </c>
      <c r="D55" s="15" t="n">
        <v>13.82</v>
      </c>
      <c r="E55" s="15" t="n">
        <v>1.75</v>
      </c>
      <c r="F55" s="15" t="n">
        <v>2.42</v>
      </c>
      <c r="G55" s="15" t="n">
        <v>14</v>
      </c>
      <c r="H55" s="15" t="n">
        <v>111</v>
      </c>
      <c r="I55" s="15" t="n">
        <v>3.88</v>
      </c>
      <c r="J55" s="15" t="n">
        <v>3.74</v>
      </c>
      <c r="K55" s="15" t="n">
        <v>0.32</v>
      </c>
      <c r="L55" s="15" t="n">
        <v>1.87</v>
      </c>
      <c r="M55" s="15" t="n">
        <v>7.05</v>
      </c>
      <c r="N55" s="15" t="n">
        <v>1.01</v>
      </c>
      <c r="O55" s="15" t="n">
        <v>3.26</v>
      </c>
      <c r="P55" s="15" t="n">
        <v>1190</v>
      </c>
      <c r="Q55" s="15" t="n">
        <v>3.27</v>
      </c>
      <c r="R55" s="15" t="n">
        <v>1.79</v>
      </c>
      <c r="S55" s="15" t="n">
        <v>27.8</v>
      </c>
    </row>
    <row r="56" ht="19" customHeight="1">
      <c r="A56" s="16" t="inlineStr">
        <is>
          <t>WINE-054</t>
        </is>
      </c>
      <c r="B56" s="17" t="inlineStr">
        <is>
          <t>Piedmont (Barolo Zone)</t>
        </is>
      </c>
      <c r="C56" s="16" t="n">
        <v>2022</v>
      </c>
      <c r="D56" s="18" t="n">
        <v>13.77</v>
      </c>
      <c r="E56" s="18" t="n">
        <v>1.9</v>
      </c>
      <c r="F56" s="18" t="n">
        <v>2.68</v>
      </c>
      <c r="G56" s="18" t="n">
        <v>17.1</v>
      </c>
      <c r="H56" s="18" t="n">
        <v>115</v>
      </c>
      <c r="I56" s="18" t="n">
        <v>3</v>
      </c>
      <c r="J56" s="18" t="n">
        <v>2.79</v>
      </c>
      <c r="K56" s="18" t="n">
        <v>0.39</v>
      </c>
      <c r="L56" s="18" t="n">
        <v>1.68</v>
      </c>
      <c r="M56" s="18" t="n">
        <v>6.3</v>
      </c>
      <c r="N56" s="18" t="n">
        <v>1.13</v>
      </c>
      <c r="O56" s="18" t="n">
        <v>2.93</v>
      </c>
      <c r="P56" s="18" t="n">
        <v>1375</v>
      </c>
      <c r="Q56" s="18" t="n">
        <v>3.16</v>
      </c>
      <c r="R56" s="18" t="n">
        <v>1.26</v>
      </c>
      <c r="S56" s="18" t="n">
        <v>24.5</v>
      </c>
    </row>
    <row r="57" ht="19" customHeight="1">
      <c r="A57" s="13" t="inlineStr">
        <is>
          <t>WINE-055</t>
        </is>
      </c>
      <c r="B57" s="14" t="inlineStr">
        <is>
          <t>Piedmont (Barolo Zone)</t>
        </is>
      </c>
      <c r="C57" s="13" t="n">
        <v>2020</v>
      </c>
      <c r="D57" s="15" t="n">
        <v>13.74</v>
      </c>
      <c r="E57" s="15" t="n">
        <v>1.67</v>
      </c>
      <c r="F57" s="15" t="n">
        <v>2.25</v>
      </c>
      <c r="G57" s="15" t="n">
        <v>16.4</v>
      </c>
      <c r="H57" s="15" t="n">
        <v>118</v>
      </c>
      <c r="I57" s="15" t="n">
        <v>2.6</v>
      </c>
      <c r="J57" s="15" t="n">
        <v>2.9</v>
      </c>
      <c r="K57" s="15" t="n">
        <v>0.21</v>
      </c>
      <c r="L57" s="15" t="n">
        <v>1.62</v>
      </c>
      <c r="M57" s="15" t="n">
        <v>5.85</v>
      </c>
      <c r="N57" s="15" t="n">
        <v>0.92</v>
      </c>
      <c r="O57" s="15" t="n">
        <v>3.2</v>
      </c>
      <c r="P57" s="15" t="n">
        <v>1060</v>
      </c>
      <c r="Q57" s="15" t="n">
        <v>3.34</v>
      </c>
      <c r="R57" s="15" t="n">
        <v>2.58</v>
      </c>
      <c r="S57" s="15" t="n">
        <v>25.6</v>
      </c>
    </row>
    <row r="58" ht="19" customHeight="1">
      <c r="A58" s="16" t="inlineStr">
        <is>
          <t>WINE-056</t>
        </is>
      </c>
      <c r="B58" s="17" t="inlineStr">
        <is>
          <t>Piedmont (Barolo Zone)</t>
        </is>
      </c>
      <c r="C58" s="16" t="n">
        <v>2022</v>
      </c>
      <c r="D58" s="18" t="n">
        <v>13.56</v>
      </c>
      <c r="E58" s="18" t="n">
        <v>1.73</v>
      </c>
      <c r="F58" s="18" t="n">
        <v>2.46</v>
      </c>
      <c r="G58" s="18" t="n">
        <v>20.5</v>
      </c>
      <c r="H58" s="18" t="n">
        <v>116</v>
      </c>
      <c r="I58" s="18" t="n">
        <v>2.96</v>
      </c>
      <c r="J58" s="18" t="n">
        <v>2.78</v>
      </c>
      <c r="K58" s="18" t="n">
        <v>0.2</v>
      </c>
      <c r="L58" s="18" t="n">
        <v>2.45</v>
      </c>
      <c r="M58" s="18" t="n">
        <v>6.25</v>
      </c>
      <c r="N58" s="18" t="n">
        <v>0.98</v>
      </c>
      <c r="O58" s="18" t="n">
        <v>3.03</v>
      </c>
      <c r="P58" s="18" t="n">
        <v>1120</v>
      </c>
      <c r="Q58" s="18" t="n">
        <v>3.53</v>
      </c>
      <c r="R58" s="18" t="n">
        <v>1.88</v>
      </c>
      <c r="S58" s="18" t="n">
        <v>27.4</v>
      </c>
    </row>
    <row r="59" ht="19" customHeight="1">
      <c r="A59" s="13" t="inlineStr">
        <is>
          <t>WINE-057</t>
        </is>
      </c>
      <c r="B59" s="14" t="inlineStr">
        <is>
          <t>Piedmont (Barolo Zone)</t>
        </is>
      </c>
      <c r="C59" s="13" t="n">
        <v>2019</v>
      </c>
      <c r="D59" s="15" t="n">
        <v>14.22</v>
      </c>
      <c r="E59" s="15" t="n">
        <v>1.7</v>
      </c>
      <c r="F59" s="15" t="n">
        <v>2.3</v>
      </c>
      <c r="G59" s="15" t="n">
        <v>16.3</v>
      </c>
      <c r="H59" s="15" t="n">
        <v>118</v>
      </c>
      <c r="I59" s="15" t="n">
        <v>3.2</v>
      </c>
      <c r="J59" s="15" t="n">
        <v>3</v>
      </c>
      <c r="K59" s="15" t="n">
        <v>0.26</v>
      </c>
      <c r="L59" s="15" t="n">
        <v>2.03</v>
      </c>
      <c r="M59" s="15" t="n">
        <v>6.38</v>
      </c>
      <c r="N59" s="15" t="n">
        <v>0.9399999999999999</v>
      </c>
      <c r="O59" s="15" t="n">
        <v>3.31</v>
      </c>
      <c r="P59" s="15" t="n">
        <v>970</v>
      </c>
      <c r="Q59" s="15" t="n">
        <v>3.43</v>
      </c>
      <c r="R59" s="15" t="n">
        <v>2.41</v>
      </c>
      <c r="S59" s="15" t="n">
        <v>24.3</v>
      </c>
    </row>
    <row r="60" ht="19" customHeight="1">
      <c r="A60" s="16" t="inlineStr">
        <is>
          <t>WINE-058</t>
        </is>
      </c>
      <c r="B60" s="17" t="inlineStr">
        <is>
          <t>Piedmont (Barolo Zone)</t>
        </is>
      </c>
      <c r="C60" s="16" t="n">
        <v>2019</v>
      </c>
      <c r="D60" s="18" t="n">
        <v>13.29</v>
      </c>
      <c r="E60" s="18" t="n">
        <v>1.97</v>
      </c>
      <c r="F60" s="18" t="n">
        <v>2.68</v>
      </c>
      <c r="G60" s="18" t="n">
        <v>16.8</v>
      </c>
      <c r="H60" s="18" t="n">
        <v>102</v>
      </c>
      <c r="I60" s="18" t="n">
        <v>3</v>
      </c>
      <c r="J60" s="18" t="n">
        <v>3.23</v>
      </c>
      <c r="K60" s="18" t="n">
        <v>0.31</v>
      </c>
      <c r="L60" s="18" t="n">
        <v>1.66</v>
      </c>
      <c r="M60" s="18" t="n">
        <v>6</v>
      </c>
      <c r="N60" s="18" t="n">
        <v>1.07</v>
      </c>
      <c r="O60" s="18" t="n">
        <v>2.84</v>
      </c>
      <c r="P60" s="18" t="n">
        <v>1270</v>
      </c>
      <c r="Q60" s="18" t="n">
        <v>3.19</v>
      </c>
      <c r="R60" s="18" t="n">
        <v>0.48</v>
      </c>
      <c r="S60" s="18" t="n">
        <v>27.8</v>
      </c>
    </row>
    <row r="61" ht="19" customHeight="1">
      <c r="A61" s="13" t="inlineStr">
        <is>
          <t>WINE-059</t>
        </is>
      </c>
      <c r="B61" s="14" t="inlineStr">
        <is>
          <t>Piedmont (Barolo Zone)</t>
        </is>
      </c>
      <c r="C61" s="13" t="n">
        <v>2019</v>
      </c>
      <c r="D61" s="15" t="n">
        <v>13.72</v>
      </c>
      <c r="E61" s="15" t="n">
        <v>1.43</v>
      </c>
      <c r="F61" s="15" t="n">
        <v>2.5</v>
      </c>
      <c r="G61" s="15" t="n">
        <v>16.7</v>
      </c>
      <c r="H61" s="15" t="n">
        <v>108</v>
      </c>
      <c r="I61" s="15" t="n">
        <v>3.4</v>
      </c>
      <c r="J61" s="15" t="n">
        <v>3.67</v>
      </c>
      <c r="K61" s="15" t="n">
        <v>0.19</v>
      </c>
      <c r="L61" s="15" t="n">
        <v>2.04</v>
      </c>
      <c r="M61" s="15" t="n">
        <v>6.8</v>
      </c>
      <c r="N61" s="15" t="n">
        <v>0.89</v>
      </c>
      <c r="O61" s="15" t="n">
        <v>2.87</v>
      </c>
      <c r="P61" s="15" t="n">
        <v>1285</v>
      </c>
      <c r="Q61" s="15" t="n">
        <v>3.45</v>
      </c>
      <c r="R61" s="15" t="n">
        <v>3.72</v>
      </c>
      <c r="S61" s="15" t="n">
        <v>26.1</v>
      </c>
    </row>
    <row r="62" ht="19" customHeight="1">
      <c r="A62" s="16" t="inlineStr">
        <is>
          <t>WINE-060</t>
        </is>
      </c>
      <c r="B62" s="17" t="inlineStr">
        <is>
          <t>Tuscany (Chianti Classico)</t>
        </is>
      </c>
      <c r="C62" s="16" t="n">
        <v>2020</v>
      </c>
      <c r="D62" s="18" t="n">
        <v>12.37</v>
      </c>
      <c r="E62" s="18" t="n">
        <v>0.9399999999999999</v>
      </c>
      <c r="F62" s="18" t="n">
        <v>1.36</v>
      </c>
      <c r="G62" s="18" t="n">
        <v>10.6</v>
      </c>
      <c r="H62" s="18" t="n">
        <v>88</v>
      </c>
      <c r="I62" s="18" t="n">
        <v>1.98</v>
      </c>
      <c r="J62" s="18" t="n">
        <v>0.57</v>
      </c>
      <c r="K62" s="18" t="n">
        <v>0.28</v>
      </c>
      <c r="L62" s="18" t="n">
        <v>0.42</v>
      </c>
      <c r="M62" s="18" t="n">
        <v>1.95</v>
      </c>
      <c r="N62" s="18" t="n">
        <v>1.05</v>
      </c>
      <c r="O62" s="18" t="n">
        <v>1.82</v>
      </c>
      <c r="P62" s="18" t="n">
        <v>520</v>
      </c>
      <c r="Q62" s="18" t="n">
        <v>3.52</v>
      </c>
      <c r="R62" s="18" t="n">
        <v>4.28</v>
      </c>
      <c r="S62" s="18" t="n">
        <v>25.8</v>
      </c>
    </row>
    <row r="63" ht="19" customHeight="1">
      <c r="A63" s="13" t="inlineStr">
        <is>
          <t>WINE-061</t>
        </is>
      </c>
      <c r="B63" s="14" t="inlineStr">
        <is>
          <t>Tuscany (Chianti Classico)</t>
        </is>
      </c>
      <c r="C63" s="13" t="n">
        <v>2020</v>
      </c>
      <c r="D63" s="15" t="n">
        <v>12.33</v>
      </c>
      <c r="E63" s="15" t="n">
        <v>1.1</v>
      </c>
      <c r="F63" s="15" t="n">
        <v>2.28</v>
      </c>
      <c r="G63" s="15" t="n">
        <v>16</v>
      </c>
      <c r="H63" s="15" t="n">
        <v>101</v>
      </c>
      <c r="I63" s="15" t="n">
        <v>2.05</v>
      </c>
      <c r="J63" s="15" t="n">
        <v>1.09</v>
      </c>
      <c r="K63" s="15" t="n">
        <v>0.63</v>
      </c>
      <c r="L63" s="15" t="n">
        <v>0.41</v>
      </c>
      <c r="M63" s="15" t="n">
        <v>3.27</v>
      </c>
      <c r="N63" s="15" t="n">
        <v>1.25</v>
      </c>
      <c r="O63" s="15" t="n">
        <v>1.67</v>
      </c>
      <c r="P63" s="15" t="n">
        <v>680</v>
      </c>
      <c r="Q63" s="15" t="n">
        <v>3.32</v>
      </c>
      <c r="R63" s="15" t="n">
        <v>1.87</v>
      </c>
      <c r="S63" s="15" t="n">
        <v>27.8</v>
      </c>
    </row>
    <row r="64" ht="19" customHeight="1">
      <c r="A64" s="16" t="inlineStr">
        <is>
          <t>WINE-062</t>
        </is>
      </c>
      <c r="B64" s="17" t="inlineStr">
        <is>
          <t>Tuscany (Chianti Classico)</t>
        </is>
      </c>
      <c r="C64" s="16" t="n">
        <v>2020</v>
      </c>
      <c r="D64" s="18" t="n">
        <v>12.64</v>
      </c>
      <c r="E64" s="18" t="n">
        <v>1.36</v>
      </c>
      <c r="F64" s="18" t="n">
        <v>2.02</v>
      </c>
      <c r="G64" s="18" t="n">
        <v>16.8</v>
      </c>
      <c r="H64" s="18" t="n">
        <v>100</v>
      </c>
      <c r="I64" s="18" t="n">
        <v>2.02</v>
      </c>
      <c r="J64" s="18" t="n">
        <v>1.41</v>
      </c>
      <c r="K64" s="18" t="n">
        <v>0.53</v>
      </c>
      <c r="L64" s="18" t="n">
        <v>0.62</v>
      </c>
      <c r="M64" s="18" t="n">
        <v>5.75</v>
      </c>
      <c r="N64" s="18" t="n">
        <v>0.98</v>
      </c>
      <c r="O64" s="18" t="n">
        <v>1.59</v>
      </c>
      <c r="P64" s="18" t="n">
        <v>450</v>
      </c>
      <c r="Q64" s="18" t="n">
        <v>3.45</v>
      </c>
      <c r="R64" s="18" t="n">
        <v>5.47</v>
      </c>
      <c r="S64" s="18" t="n">
        <v>27.3</v>
      </c>
    </row>
    <row r="65" ht="19" customHeight="1">
      <c r="A65" s="13" t="inlineStr">
        <is>
          <t>WINE-063</t>
        </is>
      </c>
      <c r="B65" s="14" t="inlineStr">
        <is>
          <t>Tuscany (Chianti Classico)</t>
        </is>
      </c>
      <c r="C65" s="13" t="n">
        <v>2021</v>
      </c>
      <c r="D65" s="15" t="n">
        <v>13.67</v>
      </c>
      <c r="E65" s="15" t="n">
        <v>1.25</v>
      </c>
      <c r="F65" s="15" t="n">
        <v>1.92</v>
      </c>
      <c r="G65" s="15" t="n">
        <v>18</v>
      </c>
      <c r="H65" s="15" t="n">
        <v>94</v>
      </c>
      <c r="I65" s="15" t="n">
        <v>2.1</v>
      </c>
      <c r="J65" s="15" t="n">
        <v>1.79</v>
      </c>
      <c r="K65" s="15" t="n">
        <v>0.32</v>
      </c>
      <c r="L65" s="15" t="n">
        <v>0.73</v>
      </c>
      <c r="M65" s="15" t="n">
        <v>3.8</v>
      </c>
      <c r="N65" s="15" t="n">
        <v>1.23</v>
      </c>
      <c r="O65" s="15" t="n">
        <v>2.46</v>
      </c>
      <c r="P65" s="15" t="n">
        <v>630</v>
      </c>
      <c r="Q65" s="15" t="n">
        <v>3.45</v>
      </c>
      <c r="R65" s="15" t="n">
        <v>4.73</v>
      </c>
      <c r="S65" s="15" t="n">
        <v>25.9</v>
      </c>
    </row>
    <row r="66" ht="19" customHeight="1">
      <c r="A66" s="16" t="inlineStr">
        <is>
          <t>WINE-064</t>
        </is>
      </c>
      <c r="B66" s="17" t="inlineStr">
        <is>
          <t>Tuscany (Chianti Classico)</t>
        </is>
      </c>
      <c r="C66" s="16" t="n">
        <v>2020</v>
      </c>
      <c r="D66" s="18" t="n">
        <v>12.37</v>
      </c>
      <c r="E66" s="18" t="n">
        <v>1.13</v>
      </c>
      <c r="F66" s="18" t="n">
        <v>2.16</v>
      </c>
      <c r="G66" s="18" t="n">
        <v>19</v>
      </c>
      <c r="H66" s="18" t="n">
        <v>87</v>
      </c>
      <c r="I66" s="18" t="n">
        <v>3.5</v>
      </c>
      <c r="J66" s="18" t="n">
        <v>3.1</v>
      </c>
      <c r="K66" s="18" t="n">
        <v>0.19</v>
      </c>
      <c r="L66" s="18" t="n">
        <v>1.87</v>
      </c>
      <c r="M66" s="18" t="n">
        <v>4.45</v>
      </c>
      <c r="N66" s="18" t="n">
        <v>1.22</v>
      </c>
      <c r="O66" s="18" t="n">
        <v>2.87</v>
      </c>
      <c r="P66" s="18" t="n">
        <v>420</v>
      </c>
      <c r="Q66" s="18" t="n">
        <v>3.28</v>
      </c>
      <c r="R66" s="18" t="n">
        <v>2.61</v>
      </c>
      <c r="S66" s="18" t="n">
        <v>28.6</v>
      </c>
    </row>
    <row r="67" ht="19" customHeight="1">
      <c r="A67" s="13" t="inlineStr">
        <is>
          <t>WINE-065</t>
        </is>
      </c>
      <c r="B67" s="14" t="inlineStr">
        <is>
          <t>Tuscany (Chianti Classico)</t>
        </is>
      </c>
      <c r="C67" s="13" t="n">
        <v>2020</v>
      </c>
      <c r="D67" s="15" t="n">
        <v>12.17</v>
      </c>
      <c r="E67" s="15" t="n">
        <v>1.45</v>
      </c>
      <c r="F67" s="15" t="n">
        <v>2.53</v>
      </c>
      <c r="G67" s="15" t="n">
        <v>19</v>
      </c>
      <c r="H67" s="15" t="n">
        <v>104</v>
      </c>
      <c r="I67" s="15" t="n">
        <v>1.89</v>
      </c>
      <c r="J67" s="15" t="n">
        <v>1.75</v>
      </c>
      <c r="K67" s="15" t="n">
        <v>0.45</v>
      </c>
      <c r="L67" s="15" t="n">
        <v>1.03</v>
      </c>
      <c r="M67" s="15" t="n">
        <v>2.95</v>
      </c>
      <c r="N67" s="15" t="n">
        <v>1.45</v>
      </c>
      <c r="O67" s="15" t="n">
        <v>2.23</v>
      </c>
      <c r="P67" s="15" t="n">
        <v>355</v>
      </c>
      <c r="Q67" s="15" t="n">
        <v>3.47</v>
      </c>
      <c r="R67" s="15" t="n">
        <v>3.9</v>
      </c>
      <c r="S67" s="15" t="n">
        <v>24.6</v>
      </c>
    </row>
    <row r="68" ht="19" customHeight="1">
      <c r="A68" s="16" t="inlineStr">
        <is>
          <t>WINE-066</t>
        </is>
      </c>
      <c r="B68" s="17" t="inlineStr">
        <is>
          <t>Tuscany (Chianti Classico)</t>
        </is>
      </c>
      <c r="C68" s="16" t="n">
        <v>2020</v>
      </c>
      <c r="D68" s="18" t="n">
        <v>12.37</v>
      </c>
      <c r="E68" s="18" t="n">
        <v>1.21</v>
      </c>
      <c r="F68" s="18" t="n">
        <v>2.56</v>
      </c>
      <c r="G68" s="18" t="n">
        <v>18.1</v>
      </c>
      <c r="H68" s="18" t="n">
        <v>98</v>
      </c>
      <c r="I68" s="18" t="n">
        <v>2.42</v>
      </c>
      <c r="J68" s="18" t="n">
        <v>2.65</v>
      </c>
      <c r="K68" s="18" t="n">
        <v>0.37</v>
      </c>
      <c r="L68" s="18" t="n">
        <v>2.08</v>
      </c>
      <c r="M68" s="18" t="n">
        <v>4.6</v>
      </c>
      <c r="N68" s="18" t="n">
        <v>1.19</v>
      </c>
      <c r="O68" s="18" t="n">
        <v>2.3</v>
      </c>
      <c r="P68" s="18" t="n">
        <v>678</v>
      </c>
      <c r="Q68" s="18" t="n">
        <v>3.52</v>
      </c>
      <c r="R68" s="18" t="n">
        <v>3.3</v>
      </c>
      <c r="S68" s="18" t="n">
        <v>27.6</v>
      </c>
    </row>
    <row r="69" ht="19" customHeight="1">
      <c r="A69" s="13" t="inlineStr">
        <is>
          <t>WINE-067</t>
        </is>
      </c>
      <c r="B69" s="14" t="inlineStr">
        <is>
          <t>Tuscany (Chianti Classico)</t>
        </is>
      </c>
      <c r="C69" s="13" t="n">
        <v>2019</v>
      </c>
      <c r="D69" s="15" t="n">
        <v>13.11</v>
      </c>
      <c r="E69" s="15" t="n">
        <v>1.01</v>
      </c>
      <c r="F69" s="15" t="n">
        <v>1.7</v>
      </c>
      <c r="G69" s="15" t="n">
        <v>15</v>
      </c>
      <c r="H69" s="15" t="n">
        <v>78</v>
      </c>
      <c r="I69" s="15" t="n">
        <v>2.98</v>
      </c>
      <c r="J69" s="15" t="n">
        <v>3.18</v>
      </c>
      <c r="K69" s="15" t="n">
        <v>0.26</v>
      </c>
      <c r="L69" s="15" t="n">
        <v>2.28</v>
      </c>
      <c r="M69" s="15" t="n">
        <v>5.3</v>
      </c>
      <c r="N69" s="15" t="n">
        <v>1.12</v>
      </c>
      <c r="O69" s="15" t="n">
        <v>3.18</v>
      </c>
      <c r="P69" s="15" t="n">
        <v>502</v>
      </c>
      <c r="Q69" s="15" t="n">
        <v>3.62</v>
      </c>
      <c r="R69" s="15" t="n">
        <v>0.38</v>
      </c>
      <c r="S69" s="15" t="n">
        <v>27.6</v>
      </c>
    </row>
    <row r="70" ht="19" customHeight="1">
      <c r="A70" s="16" t="inlineStr">
        <is>
          <t>WINE-068</t>
        </is>
      </c>
      <c r="B70" s="17" t="inlineStr">
        <is>
          <t>Tuscany (Chianti Classico)</t>
        </is>
      </c>
      <c r="C70" s="16" t="n">
        <v>2021</v>
      </c>
      <c r="D70" s="18" t="n">
        <v>12.37</v>
      </c>
      <c r="E70" s="18" t="n">
        <v>1.17</v>
      </c>
      <c r="F70" s="18" t="n">
        <v>1.92</v>
      </c>
      <c r="G70" s="18" t="n">
        <v>19.6</v>
      </c>
      <c r="H70" s="18" t="n">
        <v>78</v>
      </c>
      <c r="I70" s="18" t="n">
        <v>2.11</v>
      </c>
      <c r="J70" s="18" t="n">
        <v>2</v>
      </c>
      <c r="K70" s="18" t="n">
        <v>0.27</v>
      </c>
      <c r="L70" s="18" t="n">
        <v>1.04</v>
      </c>
      <c r="M70" s="18" t="n">
        <v>4.68</v>
      </c>
      <c r="N70" s="18" t="n">
        <v>1.12</v>
      </c>
      <c r="O70" s="18" t="n">
        <v>3.48</v>
      </c>
      <c r="P70" s="18" t="n">
        <v>510</v>
      </c>
      <c r="Q70" s="18" t="n">
        <v>3.6</v>
      </c>
      <c r="R70" s="18" t="n">
        <v>1.44</v>
      </c>
      <c r="S70" s="18" t="n">
        <v>25.9</v>
      </c>
    </row>
    <row r="71" ht="19" customHeight="1">
      <c r="A71" s="13" t="inlineStr">
        <is>
          <t>WINE-069</t>
        </is>
      </c>
      <c r="B71" s="14" t="inlineStr">
        <is>
          <t>Tuscany (Chianti Classico)</t>
        </is>
      </c>
      <c r="C71" s="13" t="n">
        <v>2019</v>
      </c>
      <c r="D71" s="15" t="n">
        <v>13.34</v>
      </c>
      <c r="E71" s="15" t="n">
        <v>0.9399999999999999</v>
      </c>
      <c r="F71" s="15" t="n">
        <v>2.36</v>
      </c>
      <c r="G71" s="15" t="n">
        <v>17</v>
      </c>
      <c r="H71" s="15" t="n">
        <v>110</v>
      </c>
      <c r="I71" s="15" t="n">
        <v>2.53</v>
      </c>
      <c r="J71" s="15" t="n">
        <v>1.3</v>
      </c>
      <c r="K71" s="15" t="n">
        <v>0.55</v>
      </c>
      <c r="L71" s="15" t="n">
        <v>0.42</v>
      </c>
      <c r="M71" s="15" t="n">
        <v>3.17</v>
      </c>
      <c r="N71" s="15" t="n">
        <v>1.02</v>
      </c>
      <c r="O71" s="15" t="n">
        <v>1.93</v>
      </c>
      <c r="P71" s="15" t="n">
        <v>750</v>
      </c>
      <c r="Q71" s="15" t="n">
        <v>3.26</v>
      </c>
      <c r="R71" s="15" t="n">
        <v>2.72</v>
      </c>
      <c r="S71" s="15" t="n">
        <v>27.1</v>
      </c>
    </row>
    <row r="72" ht="19" customHeight="1">
      <c r="A72" s="16" t="inlineStr">
        <is>
          <t>WINE-070</t>
        </is>
      </c>
      <c r="B72" s="17" t="inlineStr">
        <is>
          <t>Tuscany (Chianti Classico)</t>
        </is>
      </c>
      <c r="C72" s="16" t="n">
        <v>2022</v>
      </c>
      <c r="D72" s="18" t="n">
        <v>12.21</v>
      </c>
      <c r="E72" s="18" t="n">
        <v>1.19</v>
      </c>
      <c r="F72" s="18" t="n">
        <v>1.75</v>
      </c>
      <c r="G72" s="18" t="n">
        <v>16.8</v>
      </c>
      <c r="H72" s="18" t="n">
        <v>151</v>
      </c>
      <c r="I72" s="18" t="n">
        <v>1.85</v>
      </c>
      <c r="J72" s="18" t="n">
        <v>1.28</v>
      </c>
      <c r="K72" s="18" t="n">
        <v>0.14</v>
      </c>
      <c r="L72" s="18" t="n">
        <v>2.5</v>
      </c>
      <c r="M72" s="18" t="n">
        <v>2.85</v>
      </c>
      <c r="N72" s="18" t="n">
        <v>1.28</v>
      </c>
      <c r="O72" s="18" t="n">
        <v>3.07</v>
      </c>
      <c r="P72" s="18" t="n">
        <v>718</v>
      </c>
      <c r="Q72" s="18" t="n">
        <v>3.3</v>
      </c>
      <c r="R72" s="18" t="n">
        <v>4.45</v>
      </c>
      <c r="S72" s="18" t="n">
        <v>24.2</v>
      </c>
    </row>
    <row r="73" ht="19" customHeight="1">
      <c r="A73" s="13" t="inlineStr">
        <is>
          <t>WINE-071</t>
        </is>
      </c>
      <c r="B73" s="14" t="inlineStr">
        <is>
          <t>Tuscany (Chianti Classico)</t>
        </is>
      </c>
      <c r="C73" s="13" t="n">
        <v>2021</v>
      </c>
      <c r="D73" s="15" t="n">
        <v>12.29</v>
      </c>
      <c r="E73" s="15" t="n">
        <v>1.61</v>
      </c>
      <c r="F73" s="15" t="n">
        <v>2.21</v>
      </c>
      <c r="G73" s="15" t="n">
        <v>20.4</v>
      </c>
      <c r="H73" s="15" t="n">
        <v>103</v>
      </c>
      <c r="I73" s="15" t="n">
        <v>1.1</v>
      </c>
      <c r="J73" s="15" t="n">
        <v>1.02</v>
      </c>
      <c r="K73" s="15" t="n">
        <v>0.37</v>
      </c>
      <c r="L73" s="15" t="n">
        <v>1.46</v>
      </c>
      <c r="M73" s="15" t="n">
        <v>3.05</v>
      </c>
      <c r="N73" s="15" t="n">
        <v>0.906</v>
      </c>
      <c r="O73" s="15" t="n">
        <v>1.82</v>
      </c>
      <c r="P73" s="15" t="n">
        <v>870</v>
      </c>
      <c r="Q73" s="15" t="n">
        <v>3.49</v>
      </c>
      <c r="R73" s="15" t="n">
        <v>0.5600000000000001</v>
      </c>
      <c r="S73" s="15" t="n">
        <v>28.2</v>
      </c>
    </row>
    <row r="74" ht="19" customHeight="1">
      <c r="A74" s="16" t="inlineStr">
        <is>
          <t>WINE-072</t>
        </is>
      </c>
      <c r="B74" s="17" t="inlineStr">
        <is>
          <t>Tuscany (Chianti Classico)</t>
        </is>
      </c>
      <c r="C74" s="16" t="n">
        <v>2019</v>
      </c>
      <c r="D74" s="18" t="n">
        <v>13.86</v>
      </c>
      <c r="E74" s="18" t="n">
        <v>1.51</v>
      </c>
      <c r="F74" s="18" t="n">
        <v>2.67</v>
      </c>
      <c r="G74" s="18" t="n">
        <v>25</v>
      </c>
      <c r="H74" s="18" t="n">
        <v>86</v>
      </c>
      <c r="I74" s="18" t="n">
        <v>2.95</v>
      </c>
      <c r="J74" s="18" t="n">
        <v>2.86</v>
      </c>
      <c r="K74" s="18" t="n">
        <v>0.21</v>
      </c>
      <c r="L74" s="18" t="n">
        <v>1.87</v>
      </c>
      <c r="M74" s="18" t="n">
        <v>3.38</v>
      </c>
      <c r="N74" s="18" t="n">
        <v>1.36</v>
      </c>
      <c r="O74" s="18" t="n">
        <v>3.16</v>
      </c>
      <c r="P74" s="18" t="n">
        <v>410</v>
      </c>
      <c r="Q74" s="18" t="n">
        <v>3.49</v>
      </c>
      <c r="R74" s="18" t="n">
        <v>0.4</v>
      </c>
      <c r="S74" s="18" t="n">
        <v>26.2</v>
      </c>
    </row>
    <row r="75" ht="19" customHeight="1">
      <c r="A75" s="13" t="inlineStr">
        <is>
          <t>WINE-073</t>
        </is>
      </c>
      <c r="B75" s="14" t="inlineStr">
        <is>
          <t>Tuscany (Chianti Classico)</t>
        </is>
      </c>
      <c r="C75" s="13" t="n">
        <v>2019</v>
      </c>
      <c r="D75" s="15" t="n">
        <v>13.49</v>
      </c>
      <c r="E75" s="15" t="n">
        <v>1.66</v>
      </c>
      <c r="F75" s="15" t="n">
        <v>2.24</v>
      </c>
      <c r="G75" s="15" t="n">
        <v>24</v>
      </c>
      <c r="H75" s="15" t="n">
        <v>87</v>
      </c>
      <c r="I75" s="15" t="n">
        <v>1.88</v>
      </c>
      <c r="J75" s="15" t="n">
        <v>1.84</v>
      </c>
      <c r="K75" s="15" t="n">
        <v>0.27</v>
      </c>
      <c r="L75" s="15" t="n">
        <v>1.03</v>
      </c>
      <c r="M75" s="15" t="n">
        <v>3.74</v>
      </c>
      <c r="N75" s="15" t="n">
        <v>0.98</v>
      </c>
      <c r="O75" s="15" t="n">
        <v>2.78</v>
      </c>
      <c r="P75" s="15" t="n">
        <v>472</v>
      </c>
      <c r="Q75" s="15" t="n">
        <v>3.48</v>
      </c>
      <c r="R75" s="15" t="n">
        <v>1.67</v>
      </c>
      <c r="S75" s="15" t="n">
        <v>25.6</v>
      </c>
    </row>
    <row r="76" ht="19" customHeight="1">
      <c r="A76" s="16" t="inlineStr">
        <is>
          <t>WINE-074</t>
        </is>
      </c>
      <c r="B76" s="17" t="inlineStr">
        <is>
          <t>Tuscany (Chianti Classico)</t>
        </is>
      </c>
      <c r="C76" s="16" t="n">
        <v>2021</v>
      </c>
      <c r="D76" s="18" t="n">
        <v>12.99</v>
      </c>
      <c r="E76" s="18" t="n">
        <v>1.67</v>
      </c>
      <c r="F76" s="18" t="n">
        <v>2.6</v>
      </c>
      <c r="G76" s="18" t="n">
        <v>30</v>
      </c>
      <c r="H76" s="18" t="n">
        <v>139</v>
      </c>
      <c r="I76" s="18" t="n">
        <v>3.3</v>
      </c>
      <c r="J76" s="18" t="n">
        <v>2.89</v>
      </c>
      <c r="K76" s="18" t="n">
        <v>0.21</v>
      </c>
      <c r="L76" s="18" t="n">
        <v>1.96</v>
      </c>
      <c r="M76" s="18" t="n">
        <v>3.35</v>
      </c>
      <c r="N76" s="18" t="n">
        <v>1.31</v>
      </c>
      <c r="O76" s="18" t="n">
        <v>3.5</v>
      </c>
      <c r="P76" s="18" t="n">
        <v>985</v>
      </c>
      <c r="Q76" s="18" t="n">
        <v>3.98</v>
      </c>
      <c r="R76" s="18" t="n">
        <v>0.26</v>
      </c>
      <c r="S76" s="18" t="n">
        <v>28.4</v>
      </c>
    </row>
    <row r="77" ht="19" customHeight="1">
      <c r="A77" s="13" t="inlineStr">
        <is>
          <t>WINE-075</t>
        </is>
      </c>
      <c r="B77" s="14" t="inlineStr">
        <is>
          <t>Tuscany (Chianti Classico)</t>
        </is>
      </c>
      <c r="C77" s="13" t="n">
        <v>2021</v>
      </c>
      <c r="D77" s="15" t="n">
        <v>11.96</v>
      </c>
      <c r="E77" s="15" t="n">
        <v>1.09</v>
      </c>
      <c r="F77" s="15" t="n">
        <v>2.3</v>
      </c>
      <c r="G77" s="15" t="n">
        <v>21</v>
      </c>
      <c r="H77" s="15" t="n">
        <v>101</v>
      </c>
      <c r="I77" s="15" t="n">
        <v>3.38</v>
      </c>
      <c r="J77" s="15" t="n">
        <v>2.14</v>
      </c>
      <c r="K77" s="15" t="n">
        <v>0.13</v>
      </c>
      <c r="L77" s="15" t="n">
        <v>1.65</v>
      </c>
      <c r="M77" s="15" t="n">
        <v>3.21</v>
      </c>
      <c r="N77" s="15" t="n">
        <v>0.99</v>
      </c>
      <c r="O77" s="15" t="n">
        <v>3.13</v>
      </c>
      <c r="P77" s="15" t="n">
        <v>886</v>
      </c>
      <c r="Q77" s="15" t="n">
        <v>3.54</v>
      </c>
      <c r="R77" s="15" t="n">
        <v>1.63</v>
      </c>
      <c r="S77" s="15" t="n">
        <v>25.2</v>
      </c>
    </row>
    <row r="78" ht="19" customHeight="1">
      <c r="A78" s="16" t="inlineStr">
        <is>
          <t>WINE-076</t>
        </is>
      </c>
      <c r="B78" s="17" t="inlineStr">
        <is>
          <t>Tuscany (Chianti Classico)</t>
        </is>
      </c>
      <c r="C78" s="16" t="n">
        <v>2021</v>
      </c>
      <c r="D78" s="18" t="n">
        <v>11.66</v>
      </c>
      <c r="E78" s="18" t="n">
        <v>1.88</v>
      </c>
      <c r="F78" s="18" t="n">
        <v>1.92</v>
      </c>
      <c r="G78" s="18" t="n">
        <v>16</v>
      </c>
      <c r="H78" s="18" t="n">
        <v>97</v>
      </c>
      <c r="I78" s="18" t="n">
        <v>1.61</v>
      </c>
      <c r="J78" s="18" t="n">
        <v>1.57</v>
      </c>
      <c r="K78" s="18" t="n">
        <v>0.34</v>
      </c>
      <c r="L78" s="18" t="n">
        <v>1.15</v>
      </c>
      <c r="M78" s="18" t="n">
        <v>3.8</v>
      </c>
      <c r="N78" s="18" t="n">
        <v>1.23</v>
      </c>
      <c r="O78" s="18" t="n">
        <v>2.14</v>
      </c>
      <c r="P78" s="18" t="n">
        <v>428</v>
      </c>
      <c r="Q78" s="18" t="n">
        <v>3.56</v>
      </c>
      <c r="R78" s="18" t="n">
        <v>2.2</v>
      </c>
      <c r="S78" s="18" t="n">
        <v>24</v>
      </c>
    </row>
    <row r="79" ht="19" customHeight="1">
      <c r="A79" s="13" t="inlineStr">
        <is>
          <t>WINE-077</t>
        </is>
      </c>
      <c r="B79" s="14" t="inlineStr">
        <is>
          <t>Tuscany (Chianti Classico)</t>
        </is>
      </c>
      <c r="C79" s="13" t="n">
        <v>2021</v>
      </c>
      <c r="D79" s="15" t="n">
        <v>13.03</v>
      </c>
      <c r="E79" s="15" t="n">
        <v>0.9</v>
      </c>
      <c r="F79" s="15" t="n">
        <v>1.71</v>
      </c>
      <c r="G79" s="15" t="n">
        <v>16</v>
      </c>
      <c r="H79" s="15" t="n">
        <v>86</v>
      </c>
      <c r="I79" s="15" t="n">
        <v>1.95</v>
      </c>
      <c r="J79" s="15" t="n">
        <v>2.03</v>
      </c>
      <c r="K79" s="15" t="n">
        <v>0.24</v>
      </c>
      <c r="L79" s="15" t="n">
        <v>1.46</v>
      </c>
      <c r="M79" s="15" t="n">
        <v>4.6</v>
      </c>
      <c r="N79" s="15" t="n">
        <v>1.19</v>
      </c>
      <c r="O79" s="15" t="n">
        <v>2.48</v>
      </c>
      <c r="P79" s="15" t="n">
        <v>392</v>
      </c>
      <c r="Q79" s="15" t="n">
        <v>3.61</v>
      </c>
      <c r="R79" s="15" t="n">
        <v>0.85</v>
      </c>
      <c r="S79" s="15" t="n">
        <v>23.7</v>
      </c>
    </row>
    <row r="80" ht="19" customHeight="1">
      <c r="A80" s="16" t="inlineStr">
        <is>
          <t>WINE-078</t>
        </is>
      </c>
      <c r="B80" s="17" t="inlineStr">
        <is>
          <t>Tuscany (Chianti Classico)</t>
        </is>
      </c>
      <c r="C80" s="16" t="n">
        <v>2019</v>
      </c>
      <c r="D80" s="18" t="n">
        <v>11.84</v>
      </c>
      <c r="E80" s="18" t="n">
        <v>2.89</v>
      </c>
      <c r="F80" s="18" t="n">
        <v>2.23</v>
      </c>
      <c r="G80" s="18" t="n">
        <v>18</v>
      </c>
      <c r="H80" s="18" t="n">
        <v>112</v>
      </c>
      <c r="I80" s="18" t="n">
        <v>1.72</v>
      </c>
      <c r="J80" s="18" t="n">
        <v>1.32</v>
      </c>
      <c r="K80" s="18" t="n">
        <v>0.43</v>
      </c>
      <c r="L80" s="18" t="n">
        <v>0.95</v>
      </c>
      <c r="M80" s="18" t="n">
        <v>2.65</v>
      </c>
      <c r="N80" s="18" t="n">
        <v>0.96</v>
      </c>
      <c r="O80" s="18" t="n">
        <v>2.52</v>
      </c>
      <c r="P80" s="18" t="n">
        <v>500</v>
      </c>
      <c r="Q80" s="18" t="n">
        <v>3.4</v>
      </c>
      <c r="R80" s="18" t="n">
        <v>1.66</v>
      </c>
      <c r="S80" s="18" t="n">
        <v>27.6</v>
      </c>
    </row>
    <row r="81" ht="19" customHeight="1">
      <c r="A81" s="13" t="inlineStr">
        <is>
          <t>WINE-079</t>
        </is>
      </c>
      <c r="B81" s="14" t="inlineStr">
        <is>
          <t>Tuscany (Chianti Classico)</t>
        </is>
      </c>
      <c r="C81" s="13" t="n">
        <v>2020</v>
      </c>
      <c r="D81" s="15" t="n">
        <v>12.33</v>
      </c>
      <c r="E81" s="15" t="n">
        <v>0.99</v>
      </c>
      <c r="F81" s="15" t="n">
        <v>1.95</v>
      </c>
      <c r="G81" s="15" t="n">
        <v>14.8</v>
      </c>
      <c r="H81" s="15" t="n">
        <v>136</v>
      </c>
      <c r="I81" s="15" t="n">
        <v>1.9</v>
      </c>
      <c r="J81" s="15" t="n">
        <v>1.85</v>
      </c>
      <c r="K81" s="15" t="n">
        <v>0.35</v>
      </c>
      <c r="L81" s="15" t="n">
        <v>2.76</v>
      </c>
      <c r="M81" s="15" t="n">
        <v>3.4</v>
      </c>
      <c r="N81" s="15" t="n">
        <v>1.06</v>
      </c>
      <c r="O81" s="15" t="n">
        <v>2.31</v>
      </c>
      <c r="P81" s="15" t="n">
        <v>750</v>
      </c>
      <c r="Q81" s="15" t="n">
        <v>3.41</v>
      </c>
      <c r="R81" s="15" t="n">
        <v>3.12</v>
      </c>
      <c r="S81" s="15" t="n">
        <v>24.2</v>
      </c>
    </row>
    <row r="82" ht="19" customHeight="1">
      <c r="A82" s="16" t="inlineStr">
        <is>
          <t>WINE-080</t>
        </is>
      </c>
      <c r="B82" s="17" t="inlineStr">
        <is>
          <t>Tuscany (Chianti Classico)</t>
        </is>
      </c>
      <c r="C82" s="16" t="n">
        <v>2019</v>
      </c>
      <c r="D82" s="18" t="n">
        <v>12.7</v>
      </c>
      <c r="E82" s="18" t="n">
        <v>3.87</v>
      </c>
      <c r="F82" s="18" t="n">
        <v>2.4</v>
      </c>
      <c r="G82" s="18" t="n">
        <v>23</v>
      </c>
      <c r="H82" s="18" t="n">
        <v>101</v>
      </c>
      <c r="I82" s="18" t="n">
        <v>2.83</v>
      </c>
      <c r="J82" s="18" t="n">
        <v>2.55</v>
      </c>
      <c r="K82" s="18" t="n">
        <v>0.43</v>
      </c>
      <c r="L82" s="18" t="n">
        <v>1.95</v>
      </c>
      <c r="M82" s="18" t="n">
        <v>2.57</v>
      </c>
      <c r="N82" s="18" t="n">
        <v>1.19</v>
      </c>
      <c r="O82" s="18" t="n">
        <v>3.13</v>
      </c>
      <c r="P82" s="18" t="n">
        <v>463</v>
      </c>
      <c r="Q82" s="18" t="n">
        <v>3.34</v>
      </c>
      <c r="R82" s="18" t="n">
        <v>1.18</v>
      </c>
      <c r="S82" s="18" t="n">
        <v>29.7</v>
      </c>
    </row>
    <row r="83" ht="19" customHeight="1">
      <c r="A83" s="13" t="inlineStr">
        <is>
          <t>WINE-081</t>
        </is>
      </c>
      <c r="B83" s="14" t="inlineStr">
        <is>
          <t>Tuscany (Chianti Classico)</t>
        </is>
      </c>
      <c r="C83" s="13" t="n">
        <v>2022</v>
      </c>
      <c r="D83" s="15" t="n">
        <v>12</v>
      </c>
      <c r="E83" s="15" t="n">
        <v>0.92</v>
      </c>
      <c r="F83" s="15" t="n">
        <v>2</v>
      </c>
      <c r="G83" s="15" t="n">
        <v>19</v>
      </c>
      <c r="H83" s="15" t="n">
        <v>86</v>
      </c>
      <c r="I83" s="15" t="n">
        <v>2.42</v>
      </c>
      <c r="J83" s="15" t="n">
        <v>2.26</v>
      </c>
      <c r="K83" s="15" t="n">
        <v>0.3</v>
      </c>
      <c r="L83" s="15" t="n">
        <v>1.43</v>
      </c>
      <c r="M83" s="15" t="n">
        <v>2.5</v>
      </c>
      <c r="N83" s="15" t="n">
        <v>1.38</v>
      </c>
      <c r="O83" s="15" t="n">
        <v>3.12</v>
      </c>
      <c r="P83" s="15" t="n">
        <v>278</v>
      </c>
      <c r="Q83" s="15" t="n">
        <v>3.35</v>
      </c>
      <c r="R83" s="15" t="n">
        <v>0.96</v>
      </c>
      <c r="S83" s="15" t="n">
        <v>22.8</v>
      </c>
    </row>
    <row r="84" ht="19" customHeight="1">
      <c r="A84" s="16" t="inlineStr">
        <is>
          <t>WINE-082</t>
        </is>
      </c>
      <c r="B84" s="17" t="inlineStr">
        <is>
          <t>Tuscany (Chianti Classico)</t>
        </is>
      </c>
      <c r="C84" s="16" t="n">
        <v>2021</v>
      </c>
      <c r="D84" s="18" t="n">
        <v>12.72</v>
      </c>
      <c r="E84" s="18" t="n">
        <v>1.81</v>
      </c>
      <c r="F84" s="18" t="n">
        <v>2.2</v>
      </c>
      <c r="G84" s="18" t="n">
        <v>18.8</v>
      </c>
      <c r="H84" s="18" t="n">
        <v>86</v>
      </c>
      <c r="I84" s="18" t="n">
        <v>2.2</v>
      </c>
      <c r="J84" s="18" t="n">
        <v>2.53</v>
      </c>
      <c r="K84" s="18" t="n">
        <v>0.26</v>
      </c>
      <c r="L84" s="18" t="n">
        <v>1.77</v>
      </c>
      <c r="M84" s="18" t="n">
        <v>3.9</v>
      </c>
      <c r="N84" s="18" t="n">
        <v>1.16</v>
      </c>
      <c r="O84" s="18" t="n">
        <v>3.14</v>
      </c>
      <c r="P84" s="18" t="n">
        <v>714</v>
      </c>
      <c r="Q84" s="18" t="n">
        <v>3.36</v>
      </c>
      <c r="R84" s="18" t="n">
        <v>1.61</v>
      </c>
      <c r="S84" s="18" t="n">
        <v>29.6</v>
      </c>
    </row>
    <row r="85" ht="19" customHeight="1">
      <c r="A85" s="13" t="inlineStr">
        <is>
          <t>WINE-083</t>
        </is>
      </c>
      <c r="B85" s="14" t="inlineStr">
        <is>
          <t>Tuscany (Chianti Classico)</t>
        </is>
      </c>
      <c r="C85" s="13" t="n">
        <v>2020</v>
      </c>
      <c r="D85" s="15" t="n">
        <v>12.08</v>
      </c>
      <c r="E85" s="15" t="n">
        <v>1.13</v>
      </c>
      <c r="F85" s="15" t="n">
        <v>2.51</v>
      </c>
      <c r="G85" s="15" t="n">
        <v>24</v>
      </c>
      <c r="H85" s="15" t="n">
        <v>78</v>
      </c>
      <c r="I85" s="15" t="n">
        <v>2</v>
      </c>
      <c r="J85" s="15" t="n">
        <v>1.58</v>
      </c>
      <c r="K85" s="15" t="n">
        <v>0.4</v>
      </c>
      <c r="L85" s="15" t="n">
        <v>1.4</v>
      </c>
      <c r="M85" s="15" t="n">
        <v>2.2</v>
      </c>
      <c r="N85" s="15" t="n">
        <v>1.31</v>
      </c>
      <c r="O85" s="15" t="n">
        <v>2.72</v>
      </c>
      <c r="P85" s="15" t="n">
        <v>630</v>
      </c>
      <c r="Q85" s="15" t="n">
        <v>3.37</v>
      </c>
      <c r="R85" s="15" t="n">
        <v>0.78</v>
      </c>
      <c r="S85" s="15" t="n">
        <v>26.9</v>
      </c>
    </row>
    <row r="86" ht="19" customHeight="1">
      <c r="A86" s="16" t="inlineStr">
        <is>
          <t>WINE-084</t>
        </is>
      </c>
      <c r="B86" s="17" t="inlineStr">
        <is>
          <t>Tuscany (Chianti Classico)</t>
        </is>
      </c>
      <c r="C86" s="16" t="n">
        <v>2019</v>
      </c>
      <c r="D86" s="18" t="n">
        <v>13.05</v>
      </c>
      <c r="E86" s="18" t="n">
        <v>3.86</v>
      </c>
      <c r="F86" s="18" t="n">
        <v>2.32</v>
      </c>
      <c r="G86" s="18" t="n">
        <v>22.5</v>
      </c>
      <c r="H86" s="18" t="n">
        <v>85</v>
      </c>
      <c r="I86" s="18" t="n">
        <v>1.65</v>
      </c>
      <c r="J86" s="18" t="n">
        <v>1.59</v>
      </c>
      <c r="K86" s="18" t="n">
        <v>0.61</v>
      </c>
      <c r="L86" s="18" t="n">
        <v>1.62</v>
      </c>
      <c r="M86" s="18" t="n">
        <v>4.8</v>
      </c>
      <c r="N86" s="18" t="n">
        <v>0.84</v>
      </c>
      <c r="O86" s="18" t="n">
        <v>2.01</v>
      </c>
      <c r="P86" s="18" t="n">
        <v>515</v>
      </c>
      <c r="Q86" s="18" t="n">
        <v>3.24</v>
      </c>
      <c r="R86" s="18" t="n">
        <v>5.23</v>
      </c>
      <c r="S86" s="18" t="n">
        <v>26.3</v>
      </c>
    </row>
    <row r="87" ht="19" customHeight="1">
      <c r="A87" s="13" t="inlineStr">
        <is>
          <t>WINE-085</t>
        </is>
      </c>
      <c r="B87" s="14" t="inlineStr">
        <is>
          <t>Tuscany (Chianti Classico)</t>
        </is>
      </c>
      <c r="C87" s="13" t="n">
        <v>2020</v>
      </c>
      <c r="D87" s="15" t="n">
        <v>11.84</v>
      </c>
      <c r="E87" s="15" t="n">
        <v>0.89</v>
      </c>
      <c r="F87" s="15" t="n">
        <v>2.58</v>
      </c>
      <c r="G87" s="15" t="n">
        <v>18</v>
      </c>
      <c r="H87" s="15" t="n">
        <v>94</v>
      </c>
      <c r="I87" s="15" t="n">
        <v>2.2</v>
      </c>
      <c r="J87" s="15" t="n">
        <v>2.21</v>
      </c>
      <c r="K87" s="15" t="n">
        <v>0.22</v>
      </c>
      <c r="L87" s="15" t="n">
        <v>2.35</v>
      </c>
      <c r="M87" s="15" t="n">
        <v>3.05</v>
      </c>
      <c r="N87" s="15" t="n">
        <v>0.79</v>
      </c>
      <c r="O87" s="15" t="n">
        <v>3.08</v>
      </c>
      <c r="P87" s="15" t="n">
        <v>520</v>
      </c>
      <c r="Q87" s="15" t="n">
        <v>3.81</v>
      </c>
      <c r="R87" s="15" t="n">
        <v>1.78</v>
      </c>
      <c r="S87" s="15" t="n">
        <v>25.5</v>
      </c>
    </row>
    <row r="88" ht="19" customHeight="1">
      <c r="A88" s="16" t="inlineStr">
        <is>
          <t>WINE-086</t>
        </is>
      </c>
      <c r="B88" s="17" t="inlineStr">
        <is>
          <t>Tuscany (Chianti Classico)</t>
        </is>
      </c>
      <c r="C88" s="16" t="n">
        <v>2020</v>
      </c>
      <c r="D88" s="18" t="n">
        <v>12.67</v>
      </c>
      <c r="E88" s="18" t="n">
        <v>0.98</v>
      </c>
      <c r="F88" s="18" t="n">
        <v>2.24</v>
      </c>
      <c r="G88" s="18" t="n">
        <v>18</v>
      </c>
      <c r="H88" s="18" t="n">
        <v>99</v>
      </c>
      <c r="I88" s="18" t="n">
        <v>2.2</v>
      </c>
      <c r="J88" s="18" t="n">
        <v>1.94</v>
      </c>
      <c r="K88" s="18" t="n">
        <v>0.3</v>
      </c>
      <c r="L88" s="18" t="n">
        <v>1.46</v>
      </c>
      <c r="M88" s="18" t="n">
        <v>2.62</v>
      </c>
      <c r="N88" s="18" t="n">
        <v>1.23</v>
      </c>
      <c r="O88" s="18" t="n">
        <v>3.16</v>
      </c>
      <c r="P88" s="18" t="n">
        <v>450</v>
      </c>
      <c r="Q88" s="18" t="n">
        <v>3.18</v>
      </c>
      <c r="R88" s="18" t="n">
        <v>1.03</v>
      </c>
      <c r="S88" s="18" t="n">
        <v>27.2</v>
      </c>
    </row>
    <row r="89" ht="19" customHeight="1">
      <c r="A89" s="13" t="inlineStr">
        <is>
          <t>WINE-087</t>
        </is>
      </c>
      <c r="B89" s="14" t="inlineStr">
        <is>
          <t>Tuscany (Chianti Classico)</t>
        </is>
      </c>
      <c r="C89" s="13" t="n">
        <v>2021</v>
      </c>
      <c r="D89" s="15" t="n">
        <v>12.16</v>
      </c>
      <c r="E89" s="15" t="n">
        <v>1.61</v>
      </c>
      <c r="F89" s="15" t="n">
        <v>2.31</v>
      </c>
      <c r="G89" s="15" t="n">
        <v>22.8</v>
      </c>
      <c r="H89" s="15" t="n">
        <v>90</v>
      </c>
      <c r="I89" s="15" t="n">
        <v>1.78</v>
      </c>
      <c r="J89" s="15" t="n">
        <v>1.69</v>
      </c>
      <c r="K89" s="15" t="n">
        <v>0.43</v>
      </c>
      <c r="L89" s="15" t="n">
        <v>1.56</v>
      </c>
      <c r="M89" s="15" t="n">
        <v>2.45</v>
      </c>
      <c r="N89" s="15" t="n">
        <v>1.33</v>
      </c>
      <c r="O89" s="15" t="n">
        <v>2.26</v>
      </c>
      <c r="P89" s="15" t="n">
        <v>495</v>
      </c>
      <c r="Q89" s="15" t="n">
        <v>3.51</v>
      </c>
      <c r="R89" s="15" t="n">
        <v>2</v>
      </c>
      <c r="S89" s="15" t="n">
        <v>26.4</v>
      </c>
    </row>
    <row r="90" ht="19" customHeight="1">
      <c r="A90" s="16" t="inlineStr">
        <is>
          <t>WINE-088</t>
        </is>
      </c>
      <c r="B90" s="17" t="inlineStr">
        <is>
          <t>Tuscany (Chianti Classico)</t>
        </is>
      </c>
      <c r="C90" s="16" t="n">
        <v>2021</v>
      </c>
      <c r="D90" s="18" t="n">
        <v>11.65</v>
      </c>
      <c r="E90" s="18" t="n">
        <v>1.67</v>
      </c>
      <c r="F90" s="18" t="n">
        <v>2.62</v>
      </c>
      <c r="G90" s="18" t="n">
        <v>26</v>
      </c>
      <c r="H90" s="18" t="n">
        <v>88</v>
      </c>
      <c r="I90" s="18" t="n">
        <v>1.92</v>
      </c>
      <c r="J90" s="18" t="n">
        <v>1.61</v>
      </c>
      <c r="K90" s="18" t="n">
        <v>0.4</v>
      </c>
      <c r="L90" s="18" t="n">
        <v>1.34</v>
      </c>
      <c r="M90" s="18" t="n">
        <v>2.6</v>
      </c>
      <c r="N90" s="18" t="n">
        <v>1.36</v>
      </c>
      <c r="O90" s="18" t="n">
        <v>3.21</v>
      </c>
      <c r="P90" s="18" t="n">
        <v>562</v>
      </c>
      <c r="Q90" s="18" t="n">
        <v>3.16</v>
      </c>
      <c r="R90" s="18" t="n">
        <v>1.6</v>
      </c>
      <c r="S90" s="18" t="n">
        <v>28.5</v>
      </c>
    </row>
    <row r="91" ht="19" customHeight="1">
      <c r="A91" s="13" t="inlineStr">
        <is>
          <t>WINE-089</t>
        </is>
      </c>
      <c r="B91" s="14" t="inlineStr">
        <is>
          <t>Tuscany (Chianti Classico)</t>
        </is>
      </c>
      <c r="C91" s="13" t="n">
        <v>2022</v>
      </c>
      <c r="D91" s="15" t="n">
        <v>11.64</v>
      </c>
      <c r="E91" s="15" t="n">
        <v>2.06</v>
      </c>
      <c r="F91" s="15" t="n">
        <v>2.46</v>
      </c>
      <c r="G91" s="15" t="n">
        <v>21.6</v>
      </c>
      <c r="H91" s="15" t="n">
        <v>84</v>
      </c>
      <c r="I91" s="15" t="n">
        <v>1.95</v>
      </c>
      <c r="J91" s="15" t="n">
        <v>1.69</v>
      </c>
      <c r="K91" s="15" t="n">
        <v>0.48</v>
      </c>
      <c r="L91" s="15" t="n">
        <v>1.35</v>
      </c>
      <c r="M91" s="15" t="n">
        <v>2.8</v>
      </c>
      <c r="N91" s="15" t="n">
        <v>1</v>
      </c>
      <c r="O91" s="15" t="n">
        <v>2.75</v>
      </c>
      <c r="P91" s="15" t="n">
        <v>680</v>
      </c>
      <c r="Q91" s="15" t="n">
        <v>3.3</v>
      </c>
      <c r="R91" s="15" t="n">
        <v>1.49</v>
      </c>
      <c r="S91" s="15" t="n">
        <v>26.7</v>
      </c>
    </row>
    <row r="92" ht="19" customHeight="1">
      <c r="A92" s="16" t="inlineStr">
        <is>
          <t>WINE-090</t>
        </is>
      </c>
      <c r="B92" s="17" t="inlineStr">
        <is>
          <t>Tuscany (Chianti Classico)</t>
        </is>
      </c>
      <c r="C92" s="16" t="n">
        <v>2020</v>
      </c>
      <c r="D92" s="18" t="n">
        <v>12.08</v>
      </c>
      <c r="E92" s="18" t="n">
        <v>1.33</v>
      </c>
      <c r="F92" s="18" t="n">
        <v>2.3</v>
      </c>
      <c r="G92" s="18" t="n">
        <v>23.6</v>
      </c>
      <c r="H92" s="18" t="n">
        <v>70</v>
      </c>
      <c r="I92" s="18" t="n">
        <v>2.2</v>
      </c>
      <c r="J92" s="18" t="n">
        <v>1.59</v>
      </c>
      <c r="K92" s="18" t="n">
        <v>0.42</v>
      </c>
      <c r="L92" s="18" t="n">
        <v>1.38</v>
      </c>
      <c r="M92" s="18" t="n">
        <v>1.74</v>
      </c>
      <c r="N92" s="18" t="n">
        <v>1.07</v>
      </c>
      <c r="O92" s="18" t="n">
        <v>3.21</v>
      </c>
      <c r="P92" s="18" t="n">
        <v>625</v>
      </c>
      <c r="Q92" s="18" t="n">
        <v>3.59</v>
      </c>
      <c r="R92" s="18" t="n">
        <v>1.18</v>
      </c>
      <c r="S92" s="18" t="n">
        <v>26.8</v>
      </c>
    </row>
    <row r="93" ht="19" customHeight="1">
      <c r="A93" s="13" t="inlineStr">
        <is>
          <t>WINE-091</t>
        </is>
      </c>
      <c r="B93" s="14" t="inlineStr">
        <is>
          <t>Tuscany (Chianti Classico)</t>
        </is>
      </c>
      <c r="C93" s="13" t="n">
        <v>2019</v>
      </c>
      <c r="D93" s="15" t="n">
        <v>12.08</v>
      </c>
      <c r="E93" s="15" t="n">
        <v>1.83</v>
      </c>
      <c r="F93" s="15" t="n">
        <v>2.32</v>
      </c>
      <c r="G93" s="15" t="n">
        <v>18.5</v>
      </c>
      <c r="H93" s="15" t="n">
        <v>81</v>
      </c>
      <c r="I93" s="15" t="n">
        <v>1.6</v>
      </c>
      <c r="J93" s="15" t="n">
        <v>1.5</v>
      </c>
      <c r="K93" s="15" t="n">
        <v>0.52</v>
      </c>
      <c r="L93" s="15" t="n">
        <v>1.64</v>
      </c>
      <c r="M93" s="15" t="n">
        <v>2.4</v>
      </c>
      <c r="N93" s="15" t="n">
        <v>1.08</v>
      </c>
      <c r="O93" s="15" t="n">
        <v>2.27</v>
      </c>
      <c r="P93" s="15" t="n">
        <v>480</v>
      </c>
      <c r="Q93" s="15" t="n">
        <v>3.4</v>
      </c>
      <c r="R93" s="15" t="n">
        <v>1.14</v>
      </c>
      <c r="S93" s="15" t="n">
        <v>25.8</v>
      </c>
    </row>
    <row r="94" ht="19" customHeight="1">
      <c r="A94" s="16" t="inlineStr">
        <is>
          <t>WINE-092</t>
        </is>
      </c>
      <c r="B94" s="17" t="inlineStr">
        <is>
          <t>Tuscany (Chianti Classico)</t>
        </is>
      </c>
      <c r="C94" s="16" t="n">
        <v>2021</v>
      </c>
      <c r="D94" s="18" t="n">
        <v>12</v>
      </c>
      <c r="E94" s="18" t="n">
        <v>1.51</v>
      </c>
      <c r="F94" s="18" t="n">
        <v>2.42</v>
      </c>
      <c r="G94" s="18" t="n">
        <v>22</v>
      </c>
      <c r="H94" s="18" t="n">
        <v>86</v>
      </c>
      <c r="I94" s="18" t="n">
        <v>1.45</v>
      </c>
      <c r="J94" s="18" t="n">
        <v>1.25</v>
      </c>
      <c r="K94" s="18" t="n">
        <v>0.5</v>
      </c>
      <c r="L94" s="18" t="n">
        <v>1.63</v>
      </c>
      <c r="M94" s="18" t="n">
        <v>3.6</v>
      </c>
      <c r="N94" s="18" t="n">
        <v>1.05</v>
      </c>
      <c r="O94" s="18" t="n">
        <v>2.65</v>
      </c>
      <c r="P94" s="18" t="n">
        <v>450</v>
      </c>
      <c r="Q94" s="18" t="n">
        <v>3.25</v>
      </c>
      <c r="R94" s="18" t="n">
        <v>0.49</v>
      </c>
      <c r="S94" s="18" t="n">
        <v>26.4</v>
      </c>
    </row>
    <row r="95" ht="19" customHeight="1">
      <c r="A95" s="13" t="inlineStr">
        <is>
          <t>WINE-093</t>
        </is>
      </c>
      <c r="B95" s="14" t="inlineStr">
        <is>
          <t>Tuscany (Chianti Classico)</t>
        </is>
      </c>
      <c r="C95" s="13" t="n">
        <v>2021</v>
      </c>
      <c r="D95" s="15" t="n">
        <v>12.69</v>
      </c>
      <c r="E95" s="15" t="n">
        <v>1.53</v>
      </c>
      <c r="F95" s="15" t="n">
        <v>2.26</v>
      </c>
      <c r="G95" s="15" t="n">
        <v>20.7</v>
      </c>
      <c r="H95" s="15" t="n">
        <v>80</v>
      </c>
      <c r="I95" s="15" t="n">
        <v>1.38</v>
      </c>
      <c r="J95" s="15" t="n">
        <v>1.46</v>
      </c>
      <c r="K95" s="15" t="n">
        <v>0.58</v>
      </c>
      <c r="L95" s="15" t="n">
        <v>1.62</v>
      </c>
      <c r="M95" s="15" t="n">
        <v>3.05</v>
      </c>
      <c r="N95" s="15" t="n">
        <v>0.96</v>
      </c>
      <c r="O95" s="15" t="n">
        <v>2.06</v>
      </c>
      <c r="P95" s="15" t="n">
        <v>495</v>
      </c>
      <c r="Q95" s="15" t="n">
        <v>3.31</v>
      </c>
      <c r="R95" s="15" t="n">
        <v>3.89</v>
      </c>
      <c r="S95" s="15" t="n">
        <v>27.1</v>
      </c>
    </row>
    <row r="96" ht="19" customHeight="1">
      <c r="A96" s="16" t="inlineStr">
        <is>
          <t>WINE-094</t>
        </is>
      </c>
      <c r="B96" s="17" t="inlineStr">
        <is>
          <t>Tuscany (Chianti Classico)</t>
        </is>
      </c>
      <c r="C96" s="16" t="n">
        <v>2020</v>
      </c>
      <c r="D96" s="18" t="n">
        <v>12.29</v>
      </c>
      <c r="E96" s="18" t="n">
        <v>2.83</v>
      </c>
      <c r="F96" s="18" t="n">
        <v>2.22</v>
      </c>
      <c r="G96" s="18" t="n">
        <v>18</v>
      </c>
      <c r="H96" s="18" t="n">
        <v>88</v>
      </c>
      <c r="I96" s="18" t="n">
        <v>2.45</v>
      </c>
      <c r="J96" s="18" t="n">
        <v>2.25</v>
      </c>
      <c r="K96" s="18" t="n">
        <v>0.25</v>
      </c>
      <c r="L96" s="18" t="n">
        <v>1.99</v>
      </c>
      <c r="M96" s="18" t="n">
        <v>2.15</v>
      </c>
      <c r="N96" s="18" t="n">
        <v>1.15</v>
      </c>
      <c r="O96" s="18" t="n">
        <v>3.3</v>
      </c>
      <c r="P96" s="18" t="n">
        <v>290</v>
      </c>
      <c r="Q96" s="18" t="n">
        <v>3.41</v>
      </c>
      <c r="R96" s="18" t="n">
        <v>2.5</v>
      </c>
      <c r="S96" s="18" t="n">
        <v>23.4</v>
      </c>
    </row>
    <row r="97" ht="19" customHeight="1">
      <c r="A97" s="13" t="inlineStr">
        <is>
          <t>WINE-095</t>
        </is>
      </c>
      <c r="B97" s="14" t="inlineStr">
        <is>
          <t>Tuscany (Chianti Classico)</t>
        </is>
      </c>
      <c r="C97" s="13" t="n">
        <v>2021</v>
      </c>
      <c r="D97" s="15" t="n">
        <v>11.62</v>
      </c>
      <c r="E97" s="15" t="n">
        <v>1.99</v>
      </c>
      <c r="F97" s="15" t="n">
        <v>2.28</v>
      </c>
      <c r="G97" s="15" t="n">
        <v>18</v>
      </c>
      <c r="H97" s="15" t="n">
        <v>98</v>
      </c>
      <c r="I97" s="15" t="n">
        <v>3.02</v>
      </c>
      <c r="J97" s="15" t="n">
        <v>2.26</v>
      </c>
      <c r="K97" s="15" t="n">
        <v>0.17</v>
      </c>
      <c r="L97" s="15" t="n">
        <v>1.35</v>
      </c>
      <c r="M97" s="15" t="n">
        <v>3.25</v>
      </c>
      <c r="N97" s="15" t="n">
        <v>1.16</v>
      </c>
      <c r="O97" s="15" t="n">
        <v>2.96</v>
      </c>
      <c r="P97" s="15" t="n">
        <v>345</v>
      </c>
      <c r="Q97" s="15" t="n">
        <v>3.27</v>
      </c>
      <c r="R97" s="15" t="n">
        <v>2.13</v>
      </c>
      <c r="S97" s="15" t="n">
        <v>24.1</v>
      </c>
    </row>
    <row r="98" ht="19" customHeight="1">
      <c r="A98" s="16" t="inlineStr">
        <is>
          <t>WINE-096</t>
        </is>
      </c>
      <c r="B98" s="17" t="inlineStr">
        <is>
          <t>Tuscany (Chianti Classico)</t>
        </is>
      </c>
      <c r="C98" s="16" t="n">
        <v>2020</v>
      </c>
      <c r="D98" s="18" t="n">
        <v>12.47</v>
      </c>
      <c r="E98" s="18" t="n">
        <v>1.52</v>
      </c>
      <c r="F98" s="18" t="n">
        <v>2.2</v>
      </c>
      <c r="G98" s="18" t="n">
        <v>19</v>
      </c>
      <c r="H98" s="18" t="n">
        <v>162</v>
      </c>
      <c r="I98" s="18" t="n">
        <v>2.5</v>
      </c>
      <c r="J98" s="18" t="n">
        <v>2.27</v>
      </c>
      <c r="K98" s="18" t="n">
        <v>0.32</v>
      </c>
      <c r="L98" s="18" t="n">
        <v>3.28</v>
      </c>
      <c r="M98" s="18" t="n">
        <v>2.6</v>
      </c>
      <c r="N98" s="18" t="n">
        <v>1.16</v>
      </c>
      <c r="O98" s="18" t="n">
        <v>2.63</v>
      </c>
      <c r="P98" s="18" t="n">
        <v>937</v>
      </c>
      <c r="Q98" s="18" t="n">
        <v>3.45</v>
      </c>
      <c r="R98" s="18" t="n">
        <v>1.59</v>
      </c>
      <c r="S98" s="18" t="n">
        <v>27.8</v>
      </c>
    </row>
    <row r="99" ht="19" customHeight="1">
      <c r="A99" s="13" t="inlineStr">
        <is>
          <t>WINE-097</t>
        </is>
      </c>
      <c r="B99" s="14" t="inlineStr">
        <is>
          <t>Tuscany (Chianti Classico)</t>
        </is>
      </c>
      <c r="C99" s="13" t="n">
        <v>2020</v>
      </c>
      <c r="D99" s="15" t="n">
        <v>11.81</v>
      </c>
      <c r="E99" s="15" t="n">
        <v>2.12</v>
      </c>
      <c r="F99" s="15" t="n">
        <v>2.74</v>
      </c>
      <c r="G99" s="15" t="n">
        <v>21.5</v>
      </c>
      <c r="H99" s="15" t="n">
        <v>134</v>
      </c>
      <c r="I99" s="15" t="n">
        <v>1.6</v>
      </c>
      <c r="J99" s="15" t="n">
        <v>0.99</v>
      </c>
      <c r="K99" s="15" t="n">
        <v>0.14</v>
      </c>
      <c r="L99" s="15" t="n">
        <v>1.56</v>
      </c>
      <c r="M99" s="15" t="n">
        <v>2.5</v>
      </c>
      <c r="N99" s="15" t="n">
        <v>0.95</v>
      </c>
      <c r="O99" s="15" t="n">
        <v>2.26</v>
      </c>
      <c r="P99" s="15" t="n">
        <v>625</v>
      </c>
      <c r="Q99" s="15" t="n">
        <v>3.37</v>
      </c>
      <c r="R99" s="15" t="n">
        <v>0.83</v>
      </c>
      <c r="S99" s="15" t="n">
        <v>26.8</v>
      </c>
    </row>
    <row r="100" ht="19" customHeight="1">
      <c r="A100" s="16" t="inlineStr">
        <is>
          <t>WINE-098</t>
        </is>
      </c>
      <c r="B100" s="17" t="inlineStr">
        <is>
          <t>Tuscany (Chianti Classico)</t>
        </is>
      </c>
      <c r="C100" s="16" t="n">
        <v>2020</v>
      </c>
      <c r="D100" s="18" t="n">
        <v>12.29</v>
      </c>
      <c r="E100" s="18" t="n">
        <v>1.41</v>
      </c>
      <c r="F100" s="18" t="n">
        <v>1.98</v>
      </c>
      <c r="G100" s="18" t="n">
        <v>16</v>
      </c>
      <c r="H100" s="18" t="n">
        <v>85</v>
      </c>
      <c r="I100" s="18" t="n">
        <v>2.55</v>
      </c>
      <c r="J100" s="18" t="n">
        <v>2.5</v>
      </c>
      <c r="K100" s="18" t="n">
        <v>0.29</v>
      </c>
      <c r="L100" s="18" t="n">
        <v>1.77</v>
      </c>
      <c r="M100" s="18" t="n">
        <v>2.9</v>
      </c>
      <c r="N100" s="18" t="n">
        <v>1.23</v>
      </c>
      <c r="O100" s="18" t="n">
        <v>2.74</v>
      </c>
      <c r="P100" s="18" t="n">
        <v>428</v>
      </c>
      <c r="Q100" s="18" t="n">
        <v>3.33</v>
      </c>
      <c r="R100" s="18" t="n">
        <v>0.99</v>
      </c>
      <c r="S100" s="18" t="n">
        <v>26.2</v>
      </c>
    </row>
    <row r="101" ht="19" customHeight="1">
      <c r="A101" s="13" t="inlineStr">
        <is>
          <t>WINE-099</t>
        </is>
      </c>
      <c r="B101" s="14" t="inlineStr">
        <is>
          <t>Tuscany (Chianti Classico)</t>
        </is>
      </c>
      <c r="C101" s="13" t="n">
        <v>2019</v>
      </c>
      <c r="D101" s="15" t="n">
        <v>12.37</v>
      </c>
      <c r="E101" s="15" t="n">
        <v>1.07</v>
      </c>
      <c r="F101" s="15" t="n">
        <v>2.1</v>
      </c>
      <c r="G101" s="15" t="n">
        <v>18.5</v>
      </c>
      <c r="H101" s="15" t="n">
        <v>88</v>
      </c>
      <c r="I101" s="15" t="n">
        <v>3.52</v>
      </c>
      <c r="J101" s="15" t="n">
        <v>3.75</v>
      </c>
      <c r="K101" s="15" t="n">
        <v>0.24</v>
      </c>
      <c r="L101" s="15" t="n">
        <v>1.95</v>
      </c>
      <c r="M101" s="15" t="n">
        <v>4.5</v>
      </c>
      <c r="N101" s="15" t="n">
        <v>1.04</v>
      </c>
      <c r="O101" s="15" t="n">
        <v>2.77</v>
      </c>
      <c r="P101" s="15" t="n">
        <v>660</v>
      </c>
      <c r="Q101" s="15" t="n">
        <v>3.77</v>
      </c>
      <c r="R101" s="15" t="n">
        <v>0.54</v>
      </c>
      <c r="S101" s="15" t="n">
        <v>26.5</v>
      </c>
    </row>
    <row r="102" ht="19" customHeight="1">
      <c r="A102" s="16" t="inlineStr">
        <is>
          <t>WINE-100</t>
        </is>
      </c>
      <c r="B102" s="17" t="inlineStr">
        <is>
          <t>Tuscany (Chianti Classico)</t>
        </is>
      </c>
      <c r="C102" s="16" t="n">
        <v>2019</v>
      </c>
      <c r="D102" s="18" t="n">
        <v>12.29</v>
      </c>
      <c r="E102" s="18" t="n">
        <v>3.17</v>
      </c>
      <c r="F102" s="18" t="n">
        <v>2.21</v>
      </c>
      <c r="G102" s="18" t="n">
        <v>18</v>
      </c>
      <c r="H102" s="18" t="n">
        <v>88</v>
      </c>
      <c r="I102" s="18" t="n">
        <v>2.85</v>
      </c>
      <c r="J102" s="18" t="n">
        <v>2.99</v>
      </c>
      <c r="K102" s="18" t="n">
        <v>0.45</v>
      </c>
      <c r="L102" s="18" t="n">
        <v>2.81</v>
      </c>
      <c r="M102" s="18" t="n">
        <v>2.3</v>
      </c>
      <c r="N102" s="18" t="n">
        <v>1.42</v>
      </c>
      <c r="O102" s="18" t="n">
        <v>2.83</v>
      </c>
      <c r="P102" s="18" t="n">
        <v>406</v>
      </c>
      <c r="Q102" s="18" t="n">
        <v>3.38</v>
      </c>
      <c r="R102" s="18" t="n">
        <v>1.08</v>
      </c>
      <c r="S102" s="18" t="n">
        <v>27.1</v>
      </c>
    </row>
    <row r="103" ht="19" customHeight="1">
      <c r="A103" s="13" t="inlineStr">
        <is>
          <t>WINE-101</t>
        </is>
      </c>
      <c r="B103" s="14" t="inlineStr">
        <is>
          <t>Tuscany (Chianti Classico)</t>
        </is>
      </c>
      <c r="C103" s="13" t="n">
        <v>2019</v>
      </c>
      <c r="D103" s="15" t="n">
        <v>12.08</v>
      </c>
      <c r="E103" s="15" t="n">
        <v>2.08</v>
      </c>
      <c r="F103" s="15" t="n">
        <v>1.7</v>
      </c>
      <c r="G103" s="15" t="n">
        <v>17.5</v>
      </c>
      <c r="H103" s="15" t="n">
        <v>97</v>
      </c>
      <c r="I103" s="15" t="n">
        <v>2.23</v>
      </c>
      <c r="J103" s="15" t="n">
        <v>2.17</v>
      </c>
      <c r="K103" s="15" t="n">
        <v>0.26</v>
      </c>
      <c r="L103" s="15" t="n">
        <v>1.4</v>
      </c>
      <c r="M103" s="15" t="n">
        <v>3.3</v>
      </c>
      <c r="N103" s="15" t="n">
        <v>1.27</v>
      </c>
      <c r="O103" s="15" t="n">
        <v>2.96</v>
      </c>
      <c r="P103" s="15" t="n">
        <v>710</v>
      </c>
      <c r="Q103" s="15" t="n">
        <v>3.07</v>
      </c>
      <c r="R103" s="15" t="n">
        <v>0.75</v>
      </c>
      <c r="S103" s="15" t="n">
        <v>25.5</v>
      </c>
    </row>
    <row r="104" ht="19" customHeight="1">
      <c r="A104" s="16" t="inlineStr">
        <is>
          <t>WINE-102</t>
        </is>
      </c>
      <c r="B104" s="17" t="inlineStr">
        <is>
          <t>Tuscany (Chianti Classico)</t>
        </is>
      </c>
      <c r="C104" s="16" t="n">
        <v>2021</v>
      </c>
      <c r="D104" s="18" t="n">
        <v>12.6</v>
      </c>
      <c r="E104" s="18" t="n">
        <v>1.34</v>
      </c>
      <c r="F104" s="18" t="n">
        <v>1.9</v>
      </c>
      <c r="G104" s="18" t="n">
        <v>18.5</v>
      </c>
      <c r="H104" s="18" t="n">
        <v>88</v>
      </c>
      <c r="I104" s="18" t="n">
        <v>1.45</v>
      </c>
      <c r="J104" s="18" t="n">
        <v>1.36</v>
      </c>
      <c r="K104" s="18" t="n">
        <v>0.29</v>
      </c>
      <c r="L104" s="18" t="n">
        <v>1.35</v>
      </c>
      <c r="M104" s="18" t="n">
        <v>2.45</v>
      </c>
      <c r="N104" s="18" t="n">
        <v>1.04</v>
      </c>
      <c r="O104" s="18" t="n">
        <v>2.77</v>
      </c>
      <c r="P104" s="18" t="n">
        <v>562</v>
      </c>
      <c r="Q104" s="18" t="n">
        <v>3.46</v>
      </c>
      <c r="R104" s="18" t="n">
        <v>4.58</v>
      </c>
      <c r="S104" s="18" t="n">
        <v>25.1</v>
      </c>
    </row>
    <row r="105" ht="19" customHeight="1">
      <c r="A105" s="13" t="inlineStr">
        <is>
          <t>WINE-103</t>
        </is>
      </c>
      <c r="B105" s="14" t="inlineStr">
        <is>
          <t>Tuscany (Chianti Classico)</t>
        </is>
      </c>
      <c r="C105" s="13" t="n">
        <v>2020</v>
      </c>
      <c r="D105" s="15" t="n">
        <v>12.34</v>
      </c>
      <c r="E105" s="15" t="n">
        <v>2.45</v>
      </c>
      <c r="F105" s="15" t="n">
        <v>2.46</v>
      </c>
      <c r="G105" s="15" t="n">
        <v>21</v>
      </c>
      <c r="H105" s="15" t="n">
        <v>98</v>
      </c>
      <c r="I105" s="15" t="n">
        <v>2.56</v>
      </c>
      <c r="J105" s="15" t="n">
        <v>2.11</v>
      </c>
      <c r="K105" s="15" t="n">
        <v>0.34</v>
      </c>
      <c r="L105" s="15" t="n">
        <v>1.31</v>
      </c>
      <c r="M105" s="15" t="n">
        <v>2.8</v>
      </c>
      <c r="N105" s="15" t="n">
        <v>0.8</v>
      </c>
      <c r="O105" s="15" t="n">
        <v>3.38</v>
      </c>
      <c r="P105" s="15" t="n">
        <v>438</v>
      </c>
      <c r="Q105" s="15" t="n">
        <v>3.24</v>
      </c>
      <c r="R105" s="15" t="n">
        <v>2.99</v>
      </c>
      <c r="S105" s="15" t="n">
        <v>26.9</v>
      </c>
    </row>
    <row r="106" ht="19" customHeight="1">
      <c r="A106" s="16" t="inlineStr">
        <is>
          <t>WINE-104</t>
        </is>
      </c>
      <c r="B106" s="17" t="inlineStr">
        <is>
          <t>Tuscany (Chianti Classico)</t>
        </is>
      </c>
      <c r="C106" s="16" t="n">
        <v>2020</v>
      </c>
      <c r="D106" s="18" t="n">
        <v>11.82</v>
      </c>
      <c r="E106" s="18" t="n">
        <v>1.72</v>
      </c>
      <c r="F106" s="18" t="n">
        <v>1.88</v>
      </c>
      <c r="G106" s="18" t="n">
        <v>19.5</v>
      </c>
      <c r="H106" s="18" t="n">
        <v>86</v>
      </c>
      <c r="I106" s="18" t="n">
        <v>2.5</v>
      </c>
      <c r="J106" s="18" t="n">
        <v>1.64</v>
      </c>
      <c r="K106" s="18" t="n">
        <v>0.37</v>
      </c>
      <c r="L106" s="18" t="n">
        <v>1.42</v>
      </c>
      <c r="M106" s="18" t="n">
        <v>2.06</v>
      </c>
      <c r="N106" s="18" t="n">
        <v>0.9399999999999999</v>
      </c>
      <c r="O106" s="18" t="n">
        <v>2.44</v>
      </c>
      <c r="P106" s="18" t="n">
        <v>415</v>
      </c>
      <c r="Q106" s="18" t="n">
        <v>3.53</v>
      </c>
      <c r="R106" s="18" t="n">
        <v>1.83</v>
      </c>
      <c r="S106" s="18" t="n">
        <v>24.7</v>
      </c>
    </row>
    <row r="107" ht="19" customHeight="1">
      <c r="A107" s="13" t="inlineStr">
        <is>
          <t>WINE-105</t>
        </is>
      </c>
      <c r="B107" s="14" t="inlineStr">
        <is>
          <t>Tuscany (Chianti Classico)</t>
        </is>
      </c>
      <c r="C107" s="13" t="n">
        <v>2022</v>
      </c>
      <c r="D107" s="15" t="n">
        <v>12.51</v>
      </c>
      <c r="E107" s="15" t="n">
        <v>1.73</v>
      </c>
      <c r="F107" s="15" t="n">
        <v>1.98</v>
      </c>
      <c r="G107" s="15" t="n">
        <v>20.5</v>
      </c>
      <c r="H107" s="15" t="n">
        <v>85</v>
      </c>
      <c r="I107" s="15" t="n">
        <v>2.2</v>
      </c>
      <c r="J107" s="15" t="n">
        <v>1.92</v>
      </c>
      <c r="K107" s="15" t="n">
        <v>0.32</v>
      </c>
      <c r="L107" s="15" t="n">
        <v>1.48</v>
      </c>
      <c r="M107" s="15" t="n">
        <v>2.94</v>
      </c>
      <c r="N107" s="15" t="n">
        <v>1.04</v>
      </c>
      <c r="O107" s="15" t="n">
        <v>3.57</v>
      </c>
      <c r="P107" s="15" t="n">
        <v>672</v>
      </c>
      <c r="Q107" s="15" t="n">
        <v>3.28</v>
      </c>
      <c r="R107" s="15" t="n">
        <v>0.9</v>
      </c>
      <c r="S107" s="15" t="n">
        <v>27.2</v>
      </c>
    </row>
    <row r="108" ht="19" customHeight="1">
      <c r="A108" s="16" t="inlineStr">
        <is>
          <t>WINE-106</t>
        </is>
      </c>
      <c r="B108" s="17" t="inlineStr">
        <is>
          <t>Tuscany (Chianti Classico)</t>
        </is>
      </c>
      <c r="C108" s="16" t="n">
        <v>2019</v>
      </c>
      <c r="D108" s="18" t="n">
        <v>12.42</v>
      </c>
      <c r="E108" s="18" t="n">
        <v>2.55</v>
      </c>
      <c r="F108" s="18" t="n">
        <v>2.27</v>
      </c>
      <c r="G108" s="18" t="n">
        <v>22</v>
      </c>
      <c r="H108" s="18" t="n">
        <v>90</v>
      </c>
      <c r="I108" s="18" t="n">
        <v>1.68</v>
      </c>
      <c r="J108" s="18" t="n">
        <v>1.84</v>
      </c>
      <c r="K108" s="18" t="n">
        <v>0.66</v>
      </c>
      <c r="L108" s="18" t="n">
        <v>1.42</v>
      </c>
      <c r="M108" s="18" t="n">
        <v>2.7</v>
      </c>
      <c r="N108" s="18" t="n">
        <v>0.86</v>
      </c>
      <c r="O108" s="18" t="n">
        <v>3.3</v>
      </c>
      <c r="P108" s="18" t="n">
        <v>315</v>
      </c>
      <c r="Q108" s="18" t="n">
        <v>3.32</v>
      </c>
      <c r="R108" s="18" t="n">
        <v>0.78</v>
      </c>
      <c r="S108" s="18" t="n">
        <v>23.4</v>
      </c>
    </row>
    <row r="109" ht="19" customHeight="1">
      <c r="A109" s="13" t="inlineStr">
        <is>
          <t>WINE-107</t>
        </is>
      </c>
      <c r="B109" s="14" t="inlineStr">
        <is>
          <t>Tuscany (Chianti Classico)</t>
        </is>
      </c>
      <c r="C109" s="13" t="n">
        <v>2020</v>
      </c>
      <c r="D109" s="15" t="n">
        <v>12.25</v>
      </c>
      <c r="E109" s="15" t="n">
        <v>1.73</v>
      </c>
      <c r="F109" s="15" t="n">
        <v>2.12</v>
      </c>
      <c r="G109" s="15" t="n">
        <v>19</v>
      </c>
      <c r="H109" s="15" t="n">
        <v>80</v>
      </c>
      <c r="I109" s="15" t="n">
        <v>1.65</v>
      </c>
      <c r="J109" s="15" t="n">
        <v>2.03</v>
      </c>
      <c r="K109" s="15" t="n">
        <v>0.37</v>
      </c>
      <c r="L109" s="15" t="n">
        <v>1.63</v>
      </c>
      <c r="M109" s="15" t="n">
        <v>3.4</v>
      </c>
      <c r="N109" s="15" t="n">
        <v>1</v>
      </c>
      <c r="O109" s="15" t="n">
        <v>3.17</v>
      </c>
      <c r="P109" s="15" t="n">
        <v>510</v>
      </c>
      <c r="Q109" s="15" t="n">
        <v>3.47</v>
      </c>
      <c r="R109" s="15" t="n">
        <v>1.52</v>
      </c>
      <c r="S109" s="15" t="n">
        <v>28.4</v>
      </c>
    </row>
    <row r="110" ht="19" customHeight="1">
      <c r="A110" s="16" t="inlineStr">
        <is>
          <t>WINE-108</t>
        </is>
      </c>
      <c r="B110" s="17" t="inlineStr">
        <is>
          <t>Tuscany (Chianti Classico)</t>
        </is>
      </c>
      <c r="C110" s="16" t="n">
        <v>2021</v>
      </c>
      <c r="D110" s="18" t="n">
        <v>12.72</v>
      </c>
      <c r="E110" s="18" t="n">
        <v>1.75</v>
      </c>
      <c r="F110" s="18" t="n">
        <v>2.28</v>
      </c>
      <c r="G110" s="18" t="n">
        <v>22.5</v>
      </c>
      <c r="H110" s="18" t="n">
        <v>84</v>
      </c>
      <c r="I110" s="18" t="n">
        <v>1.38</v>
      </c>
      <c r="J110" s="18" t="n">
        <v>1.76</v>
      </c>
      <c r="K110" s="18" t="n">
        <v>0.48</v>
      </c>
      <c r="L110" s="18" t="n">
        <v>1.63</v>
      </c>
      <c r="M110" s="18" t="n">
        <v>3.3</v>
      </c>
      <c r="N110" s="18" t="n">
        <v>0.88</v>
      </c>
      <c r="O110" s="18" t="n">
        <v>2.42</v>
      </c>
      <c r="P110" s="18" t="n">
        <v>488</v>
      </c>
      <c r="Q110" s="18" t="n">
        <v>3.53</v>
      </c>
      <c r="R110" s="18" t="n">
        <v>3.07</v>
      </c>
      <c r="S110" s="18" t="n">
        <v>27.4</v>
      </c>
    </row>
    <row r="111" ht="19" customHeight="1">
      <c r="A111" s="13" t="inlineStr">
        <is>
          <t>WINE-109</t>
        </is>
      </c>
      <c r="B111" s="14" t="inlineStr">
        <is>
          <t>Tuscany (Chianti Classico)</t>
        </is>
      </c>
      <c r="C111" s="13" t="n">
        <v>2019</v>
      </c>
      <c r="D111" s="15" t="n">
        <v>12.22</v>
      </c>
      <c r="E111" s="15" t="n">
        <v>1.29</v>
      </c>
      <c r="F111" s="15" t="n">
        <v>1.94</v>
      </c>
      <c r="G111" s="15" t="n">
        <v>19</v>
      </c>
      <c r="H111" s="15" t="n">
        <v>92</v>
      </c>
      <c r="I111" s="15" t="n">
        <v>2.36</v>
      </c>
      <c r="J111" s="15" t="n">
        <v>2.04</v>
      </c>
      <c r="K111" s="15" t="n">
        <v>0.39</v>
      </c>
      <c r="L111" s="15" t="n">
        <v>2.08</v>
      </c>
      <c r="M111" s="15" t="n">
        <v>2.7</v>
      </c>
      <c r="N111" s="15" t="n">
        <v>0.86</v>
      </c>
      <c r="O111" s="15" t="n">
        <v>3.02</v>
      </c>
      <c r="P111" s="15" t="n">
        <v>312</v>
      </c>
      <c r="Q111" s="15" t="n">
        <v>3.25</v>
      </c>
      <c r="R111" s="15" t="n">
        <v>0.55</v>
      </c>
      <c r="S111" s="15" t="n">
        <v>27</v>
      </c>
    </row>
    <row r="112" ht="19" customHeight="1">
      <c r="A112" s="16" t="inlineStr">
        <is>
          <t>WINE-110</t>
        </is>
      </c>
      <c r="B112" s="17" t="inlineStr">
        <is>
          <t>Tuscany (Chianti Classico)</t>
        </is>
      </c>
      <c r="C112" s="16" t="n">
        <v>2019</v>
      </c>
      <c r="D112" s="18" t="n">
        <v>11.61</v>
      </c>
      <c r="E112" s="18" t="n">
        <v>1.35</v>
      </c>
      <c r="F112" s="18" t="n">
        <v>2.7</v>
      </c>
      <c r="G112" s="18" t="n">
        <v>20</v>
      </c>
      <c r="H112" s="18" t="n">
        <v>94</v>
      </c>
      <c r="I112" s="18" t="n">
        <v>2.74</v>
      </c>
      <c r="J112" s="18" t="n">
        <v>2.92</v>
      </c>
      <c r="K112" s="18" t="n">
        <v>0.29</v>
      </c>
      <c r="L112" s="18" t="n">
        <v>2.49</v>
      </c>
      <c r="M112" s="18" t="n">
        <v>2.65</v>
      </c>
      <c r="N112" s="18" t="n">
        <v>0.96</v>
      </c>
      <c r="O112" s="18" t="n">
        <v>3.26</v>
      </c>
      <c r="P112" s="18" t="n">
        <v>680</v>
      </c>
      <c r="Q112" s="18" t="n">
        <v>3.38</v>
      </c>
      <c r="R112" s="18" t="n">
        <v>2.48</v>
      </c>
      <c r="S112" s="18" t="n">
        <v>28.3</v>
      </c>
    </row>
    <row r="113" ht="19" customHeight="1">
      <c r="A113" s="13" t="inlineStr">
        <is>
          <t>WINE-111</t>
        </is>
      </c>
      <c r="B113" s="14" t="inlineStr">
        <is>
          <t>Tuscany (Chianti Classico)</t>
        </is>
      </c>
      <c r="C113" s="13" t="n">
        <v>2020</v>
      </c>
      <c r="D113" s="15" t="n">
        <v>11.46</v>
      </c>
      <c r="E113" s="15" t="n">
        <v>3.74</v>
      </c>
      <c r="F113" s="15" t="n">
        <v>1.82</v>
      </c>
      <c r="G113" s="15" t="n">
        <v>19.5</v>
      </c>
      <c r="H113" s="15" t="n">
        <v>107</v>
      </c>
      <c r="I113" s="15" t="n">
        <v>3.18</v>
      </c>
      <c r="J113" s="15" t="n">
        <v>2.58</v>
      </c>
      <c r="K113" s="15" t="n">
        <v>0.24</v>
      </c>
      <c r="L113" s="15" t="n">
        <v>3.58</v>
      </c>
      <c r="M113" s="15" t="n">
        <v>2.9</v>
      </c>
      <c r="N113" s="15" t="n">
        <v>0.75</v>
      </c>
      <c r="O113" s="15" t="n">
        <v>2.81</v>
      </c>
      <c r="P113" s="15" t="n">
        <v>562</v>
      </c>
      <c r="Q113" s="15" t="n">
        <v>3.17</v>
      </c>
      <c r="R113" s="15" t="n">
        <v>1.07</v>
      </c>
      <c r="S113" s="15" t="n">
        <v>29.5</v>
      </c>
    </row>
    <row r="114" ht="19" customHeight="1">
      <c r="A114" s="16" t="inlineStr">
        <is>
          <t>WINE-112</t>
        </is>
      </c>
      <c r="B114" s="17" t="inlineStr">
        <is>
          <t>Tuscany (Chianti Classico)</t>
        </is>
      </c>
      <c r="C114" s="16" t="n">
        <v>2019</v>
      </c>
      <c r="D114" s="18" t="n">
        <v>12.52</v>
      </c>
      <c r="E114" s="18" t="n">
        <v>2.43</v>
      </c>
      <c r="F114" s="18" t="n">
        <v>2.17</v>
      </c>
      <c r="G114" s="18" t="n">
        <v>21</v>
      </c>
      <c r="H114" s="18" t="n">
        <v>88</v>
      </c>
      <c r="I114" s="18" t="n">
        <v>2.55</v>
      </c>
      <c r="J114" s="18" t="n">
        <v>2.27</v>
      </c>
      <c r="K114" s="18" t="n">
        <v>0.26</v>
      </c>
      <c r="L114" s="18" t="n">
        <v>1.22</v>
      </c>
      <c r="M114" s="18" t="n">
        <v>2</v>
      </c>
      <c r="N114" s="18" t="n">
        <v>0.9</v>
      </c>
      <c r="O114" s="18" t="n">
        <v>2.78</v>
      </c>
      <c r="P114" s="18" t="n">
        <v>325</v>
      </c>
      <c r="Q114" s="18" t="n">
        <v>3.24</v>
      </c>
      <c r="R114" s="18" t="n">
        <v>1.22</v>
      </c>
      <c r="S114" s="18" t="n">
        <v>28.3</v>
      </c>
    </row>
    <row r="115" ht="19" customHeight="1">
      <c r="A115" s="13" t="inlineStr">
        <is>
          <t>WINE-113</t>
        </is>
      </c>
      <c r="B115" s="14" t="inlineStr">
        <is>
          <t>Tuscany (Chianti Classico)</t>
        </is>
      </c>
      <c r="C115" s="13" t="n">
        <v>2022</v>
      </c>
      <c r="D115" s="15" t="n">
        <v>11.76</v>
      </c>
      <c r="E115" s="15" t="n">
        <v>2.68</v>
      </c>
      <c r="F115" s="15" t="n">
        <v>2.92</v>
      </c>
      <c r="G115" s="15" t="n">
        <v>20</v>
      </c>
      <c r="H115" s="15" t="n">
        <v>103</v>
      </c>
      <c r="I115" s="15" t="n">
        <v>1.75</v>
      </c>
      <c r="J115" s="15" t="n">
        <v>2.03</v>
      </c>
      <c r="K115" s="15" t="n">
        <v>0.6</v>
      </c>
      <c r="L115" s="15" t="n">
        <v>1.05</v>
      </c>
      <c r="M115" s="15" t="n">
        <v>3.8</v>
      </c>
      <c r="N115" s="15" t="n">
        <v>1.23</v>
      </c>
      <c r="O115" s="15" t="n">
        <v>2.5</v>
      </c>
      <c r="P115" s="15" t="n">
        <v>607</v>
      </c>
      <c r="Q115" s="15" t="n">
        <v>3.59</v>
      </c>
      <c r="R115" s="15" t="n">
        <v>1.79</v>
      </c>
      <c r="S115" s="15" t="n">
        <v>23.2</v>
      </c>
    </row>
    <row r="116" ht="19" customHeight="1">
      <c r="A116" s="16" t="inlineStr">
        <is>
          <t>WINE-114</t>
        </is>
      </c>
      <c r="B116" s="17" t="inlineStr">
        <is>
          <t>Tuscany (Chianti Classico)</t>
        </is>
      </c>
      <c r="C116" s="16" t="n">
        <v>2021</v>
      </c>
      <c r="D116" s="18" t="n">
        <v>11.41</v>
      </c>
      <c r="E116" s="18" t="n">
        <v>0.74</v>
      </c>
      <c r="F116" s="18" t="n">
        <v>2.5</v>
      </c>
      <c r="G116" s="18" t="n">
        <v>21</v>
      </c>
      <c r="H116" s="18" t="n">
        <v>88</v>
      </c>
      <c r="I116" s="18" t="n">
        <v>2.48</v>
      </c>
      <c r="J116" s="18" t="n">
        <v>2.01</v>
      </c>
      <c r="K116" s="18" t="n">
        <v>0.42</v>
      </c>
      <c r="L116" s="18" t="n">
        <v>1.44</v>
      </c>
      <c r="M116" s="18" t="n">
        <v>3.08</v>
      </c>
      <c r="N116" s="18" t="n">
        <v>1.1</v>
      </c>
      <c r="O116" s="18" t="n">
        <v>2.31</v>
      </c>
      <c r="P116" s="18" t="n">
        <v>434</v>
      </c>
      <c r="Q116" s="18" t="n">
        <v>3.54</v>
      </c>
      <c r="R116" s="18" t="n">
        <v>0.93</v>
      </c>
      <c r="S116" s="18" t="n">
        <v>24.2</v>
      </c>
    </row>
    <row r="117" ht="19" customHeight="1">
      <c r="A117" s="13" t="inlineStr">
        <is>
          <t>WINE-115</t>
        </is>
      </c>
      <c r="B117" s="14" t="inlineStr">
        <is>
          <t>Tuscany (Chianti Classico)</t>
        </is>
      </c>
      <c r="C117" s="13" t="n">
        <v>2021</v>
      </c>
      <c r="D117" s="15" t="n">
        <v>12.08</v>
      </c>
      <c r="E117" s="15" t="n">
        <v>1.39</v>
      </c>
      <c r="F117" s="15" t="n">
        <v>2.5</v>
      </c>
      <c r="G117" s="15" t="n">
        <v>22.5</v>
      </c>
      <c r="H117" s="15" t="n">
        <v>84</v>
      </c>
      <c r="I117" s="15" t="n">
        <v>2.56</v>
      </c>
      <c r="J117" s="15" t="n">
        <v>2.29</v>
      </c>
      <c r="K117" s="15" t="n">
        <v>0.43</v>
      </c>
      <c r="L117" s="15" t="n">
        <v>1.04</v>
      </c>
      <c r="M117" s="15" t="n">
        <v>2.9</v>
      </c>
      <c r="N117" s="15" t="n">
        <v>0.93</v>
      </c>
      <c r="O117" s="15" t="n">
        <v>3.19</v>
      </c>
      <c r="P117" s="15" t="n">
        <v>385</v>
      </c>
      <c r="Q117" s="15" t="n">
        <v>3.24</v>
      </c>
      <c r="R117" s="15" t="n">
        <v>1.47</v>
      </c>
      <c r="S117" s="15" t="n">
        <v>25.4</v>
      </c>
    </row>
    <row r="118" ht="19" customHeight="1">
      <c r="A118" s="16" t="inlineStr">
        <is>
          <t>WINE-116</t>
        </is>
      </c>
      <c r="B118" s="17" t="inlineStr">
        <is>
          <t>Tuscany (Chianti Classico)</t>
        </is>
      </c>
      <c r="C118" s="16" t="n">
        <v>2022</v>
      </c>
      <c r="D118" s="18" t="n">
        <v>11.03</v>
      </c>
      <c r="E118" s="18" t="n">
        <v>1.51</v>
      </c>
      <c r="F118" s="18" t="n">
        <v>2.2</v>
      </c>
      <c r="G118" s="18" t="n">
        <v>21.5</v>
      </c>
      <c r="H118" s="18" t="n">
        <v>85</v>
      </c>
      <c r="I118" s="18" t="n">
        <v>2.46</v>
      </c>
      <c r="J118" s="18" t="n">
        <v>2.17</v>
      </c>
      <c r="K118" s="18" t="n">
        <v>0.52</v>
      </c>
      <c r="L118" s="18" t="n">
        <v>2.01</v>
      </c>
      <c r="M118" s="18" t="n">
        <v>1.9</v>
      </c>
      <c r="N118" s="18" t="n">
        <v>1.71</v>
      </c>
      <c r="O118" s="18" t="n">
        <v>2.87</v>
      </c>
      <c r="P118" s="18" t="n">
        <v>407</v>
      </c>
      <c r="Q118" s="18" t="n">
        <v>3.55</v>
      </c>
      <c r="R118" s="18" t="n">
        <v>0.87</v>
      </c>
      <c r="S118" s="18" t="n">
        <v>26.5</v>
      </c>
    </row>
    <row r="119" ht="19" customHeight="1">
      <c r="A119" s="13" t="inlineStr">
        <is>
          <t>WINE-117</t>
        </is>
      </c>
      <c r="B119" s="14" t="inlineStr">
        <is>
          <t>Tuscany (Chianti Classico)</t>
        </is>
      </c>
      <c r="C119" s="13" t="n">
        <v>2021</v>
      </c>
      <c r="D119" s="15" t="n">
        <v>11.82</v>
      </c>
      <c r="E119" s="15" t="n">
        <v>1.47</v>
      </c>
      <c r="F119" s="15" t="n">
        <v>1.99</v>
      </c>
      <c r="G119" s="15" t="n">
        <v>20.8</v>
      </c>
      <c r="H119" s="15" t="n">
        <v>86</v>
      </c>
      <c r="I119" s="15" t="n">
        <v>1.98</v>
      </c>
      <c r="J119" s="15" t="n">
        <v>1.6</v>
      </c>
      <c r="K119" s="15" t="n">
        <v>0.3</v>
      </c>
      <c r="L119" s="15" t="n">
        <v>1.53</v>
      </c>
      <c r="M119" s="15" t="n">
        <v>1.95</v>
      </c>
      <c r="N119" s="15" t="n">
        <v>0.95</v>
      </c>
      <c r="O119" s="15" t="n">
        <v>3.33</v>
      </c>
      <c r="P119" s="15" t="n">
        <v>495</v>
      </c>
      <c r="Q119" s="15" t="n">
        <v>3.74</v>
      </c>
      <c r="R119" s="15" t="n">
        <v>1.14</v>
      </c>
      <c r="S119" s="15" t="n">
        <v>27.4</v>
      </c>
    </row>
    <row r="120" ht="19" customHeight="1">
      <c r="A120" s="16" t="inlineStr">
        <is>
          <t>WINE-118</t>
        </is>
      </c>
      <c r="B120" s="17" t="inlineStr">
        <is>
          <t>Tuscany (Chianti Classico)</t>
        </is>
      </c>
      <c r="C120" s="16" t="n">
        <v>2019</v>
      </c>
      <c r="D120" s="18" t="n">
        <v>12.42</v>
      </c>
      <c r="E120" s="18" t="n">
        <v>1.61</v>
      </c>
      <c r="F120" s="18" t="n">
        <v>2.19</v>
      </c>
      <c r="G120" s="18" t="n">
        <v>22.5</v>
      </c>
      <c r="H120" s="18" t="n">
        <v>108</v>
      </c>
      <c r="I120" s="18" t="n">
        <v>2</v>
      </c>
      <c r="J120" s="18" t="n">
        <v>2.09</v>
      </c>
      <c r="K120" s="18" t="n">
        <v>0.34</v>
      </c>
      <c r="L120" s="18" t="n">
        <v>1.61</v>
      </c>
      <c r="M120" s="18" t="n">
        <v>2.06</v>
      </c>
      <c r="N120" s="18" t="n">
        <v>1.06</v>
      </c>
      <c r="O120" s="18" t="n">
        <v>2.96</v>
      </c>
      <c r="P120" s="18" t="n">
        <v>345</v>
      </c>
      <c r="Q120" s="18" t="n">
        <v>3.56</v>
      </c>
      <c r="R120" s="18" t="n">
        <v>2.78</v>
      </c>
      <c r="S120" s="18" t="n">
        <v>25.2</v>
      </c>
    </row>
    <row r="121" ht="19" customHeight="1">
      <c r="A121" s="13" t="inlineStr">
        <is>
          <t>WINE-119</t>
        </is>
      </c>
      <c r="B121" s="14" t="inlineStr">
        <is>
          <t>Tuscany (Chianti Classico)</t>
        </is>
      </c>
      <c r="C121" s="13" t="n">
        <v>2022</v>
      </c>
      <c r="D121" s="15" t="n">
        <v>12.77</v>
      </c>
      <c r="E121" s="15" t="n">
        <v>3.43</v>
      </c>
      <c r="F121" s="15" t="n">
        <v>1.98</v>
      </c>
      <c r="G121" s="15" t="n">
        <v>16</v>
      </c>
      <c r="H121" s="15" t="n">
        <v>80</v>
      </c>
      <c r="I121" s="15" t="n">
        <v>1.63</v>
      </c>
      <c r="J121" s="15" t="n">
        <v>1.25</v>
      </c>
      <c r="K121" s="15" t="n">
        <v>0.43</v>
      </c>
      <c r="L121" s="15" t="n">
        <v>0.83</v>
      </c>
      <c r="M121" s="15" t="n">
        <v>3.4</v>
      </c>
      <c r="N121" s="15" t="n">
        <v>0.7</v>
      </c>
      <c r="O121" s="15" t="n">
        <v>2.12</v>
      </c>
      <c r="P121" s="15" t="n">
        <v>372</v>
      </c>
      <c r="Q121" s="15" t="n">
        <v>3.03</v>
      </c>
      <c r="R121" s="15" t="n">
        <v>1.85</v>
      </c>
      <c r="S121" s="15" t="n">
        <v>26.8</v>
      </c>
    </row>
    <row r="122" ht="19" customHeight="1">
      <c r="A122" s="16" t="inlineStr">
        <is>
          <t>WINE-120</t>
        </is>
      </c>
      <c r="B122" s="17" t="inlineStr">
        <is>
          <t>Tuscany (Chianti Classico)</t>
        </is>
      </c>
      <c r="C122" s="16" t="n">
        <v>2020</v>
      </c>
      <c r="D122" s="18" t="n">
        <v>12</v>
      </c>
      <c r="E122" s="18" t="n">
        <v>3.43</v>
      </c>
      <c r="F122" s="18" t="n">
        <v>2</v>
      </c>
      <c r="G122" s="18" t="n">
        <v>19</v>
      </c>
      <c r="H122" s="18" t="n">
        <v>87</v>
      </c>
      <c r="I122" s="18" t="n">
        <v>2</v>
      </c>
      <c r="J122" s="18" t="n">
        <v>1.64</v>
      </c>
      <c r="K122" s="18" t="n">
        <v>0.37</v>
      </c>
      <c r="L122" s="18" t="n">
        <v>1.87</v>
      </c>
      <c r="M122" s="18" t="n">
        <v>1.28</v>
      </c>
      <c r="N122" s="18" t="n">
        <v>0.93</v>
      </c>
      <c r="O122" s="18" t="n">
        <v>3.05</v>
      </c>
      <c r="P122" s="18" t="n">
        <v>564</v>
      </c>
      <c r="Q122" s="18" t="n">
        <v>3.19</v>
      </c>
      <c r="R122" s="18" t="n">
        <v>2.78</v>
      </c>
      <c r="S122" s="18" t="n">
        <v>25.1</v>
      </c>
    </row>
    <row r="123" ht="19" customHeight="1">
      <c r="A123" s="13" t="inlineStr">
        <is>
          <t>WINE-121</t>
        </is>
      </c>
      <c r="B123" s="14" t="inlineStr">
        <is>
          <t>Tuscany (Chianti Classico)</t>
        </is>
      </c>
      <c r="C123" s="13" t="n">
        <v>2021</v>
      </c>
      <c r="D123" s="15" t="n">
        <v>11.45</v>
      </c>
      <c r="E123" s="15" t="n">
        <v>2.4</v>
      </c>
      <c r="F123" s="15" t="n">
        <v>2.42</v>
      </c>
      <c r="G123" s="15" t="n">
        <v>20</v>
      </c>
      <c r="H123" s="15" t="n">
        <v>96</v>
      </c>
      <c r="I123" s="15" t="n">
        <v>2.9</v>
      </c>
      <c r="J123" s="15" t="n">
        <v>2.79</v>
      </c>
      <c r="K123" s="15" t="n">
        <v>0.32</v>
      </c>
      <c r="L123" s="15" t="n">
        <v>1.83</v>
      </c>
      <c r="M123" s="15" t="n">
        <v>3.25</v>
      </c>
      <c r="N123" s="15" t="n">
        <v>0.8</v>
      </c>
      <c r="O123" s="15" t="n">
        <v>3.39</v>
      </c>
      <c r="P123" s="15" t="n">
        <v>625</v>
      </c>
      <c r="Q123" s="15" t="n">
        <v>3.53</v>
      </c>
      <c r="R123" s="15" t="n">
        <v>1.06</v>
      </c>
      <c r="S123" s="15" t="n">
        <v>25.4</v>
      </c>
    </row>
    <row r="124" ht="19" customHeight="1">
      <c r="A124" s="16" t="inlineStr">
        <is>
          <t>WINE-122</t>
        </is>
      </c>
      <c r="B124" s="17" t="inlineStr">
        <is>
          <t>Tuscany (Chianti Classico)</t>
        </is>
      </c>
      <c r="C124" s="16" t="n">
        <v>2022</v>
      </c>
      <c r="D124" s="18" t="n">
        <v>11.56</v>
      </c>
      <c r="E124" s="18" t="n">
        <v>2.05</v>
      </c>
      <c r="F124" s="18" t="n">
        <v>3.23</v>
      </c>
      <c r="G124" s="18" t="n">
        <v>28.5</v>
      </c>
      <c r="H124" s="18" t="n">
        <v>119</v>
      </c>
      <c r="I124" s="18" t="n">
        <v>3.18</v>
      </c>
      <c r="J124" s="18" t="n">
        <v>5.08</v>
      </c>
      <c r="K124" s="18" t="n">
        <v>0.47</v>
      </c>
      <c r="L124" s="18" t="n">
        <v>1.87</v>
      </c>
      <c r="M124" s="18" t="n">
        <v>6</v>
      </c>
      <c r="N124" s="18" t="n">
        <v>0.93</v>
      </c>
      <c r="O124" s="18" t="n">
        <v>3.69</v>
      </c>
      <c r="P124" s="18" t="n">
        <v>465</v>
      </c>
      <c r="Q124" s="18" t="n">
        <v>3.27</v>
      </c>
      <c r="R124" s="18" t="n">
        <v>2.5</v>
      </c>
      <c r="S124" s="18" t="n">
        <v>24</v>
      </c>
    </row>
    <row r="125" ht="19" customHeight="1">
      <c r="A125" s="13" t="inlineStr">
        <is>
          <t>WINE-123</t>
        </is>
      </c>
      <c r="B125" s="14" t="inlineStr">
        <is>
          <t>Tuscany (Chianti Classico)</t>
        </is>
      </c>
      <c r="C125" s="13" t="n">
        <v>2020</v>
      </c>
      <c r="D125" s="15" t="n">
        <v>12.42</v>
      </c>
      <c r="E125" s="15" t="n">
        <v>4.43</v>
      </c>
      <c r="F125" s="15" t="n">
        <v>2.73</v>
      </c>
      <c r="G125" s="15" t="n">
        <v>26.5</v>
      </c>
      <c r="H125" s="15" t="n">
        <v>102</v>
      </c>
      <c r="I125" s="15" t="n">
        <v>2.2</v>
      </c>
      <c r="J125" s="15" t="n">
        <v>2.13</v>
      </c>
      <c r="K125" s="15" t="n">
        <v>0.43</v>
      </c>
      <c r="L125" s="15" t="n">
        <v>1.71</v>
      </c>
      <c r="M125" s="15" t="n">
        <v>2.08</v>
      </c>
      <c r="N125" s="15" t="n">
        <v>0.92</v>
      </c>
      <c r="O125" s="15" t="n">
        <v>3.12</v>
      </c>
      <c r="P125" s="15" t="n">
        <v>365</v>
      </c>
      <c r="Q125" s="15" t="n">
        <v>3.25</v>
      </c>
      <c r="R125" s="15" t="n">
        <v>0.44</v>
      </c>
      <c r="S125" s="15" t="n">
        <v>24.8</v>
      </c>
    </row>
    <row r="126" ht="19" customHeight="1">
      <c r="A126" s="16" t="inlineStr">
        <is>
          <t>WINE-124</t>
        </is>
      </c>
      <c r="B126" s="17" t="inlineStr">
        <is>
          <t>Tuscany (Chianti Classico)</t>
        </is>
      </c>
      <c r="C126" s="16" t="n">
        <v>2019</v>
      </c>
      <c r="D126" s="18" t="n">
        <v>13.05</v>
      </c>
      <c r="E126" s="18" t="n">
        <v>5.8</v>
      </c>
      <c r="F126" s="18" t="n">
        <v>2.13</v>
      </c>
      <c r="G126" s="18" t="n">
        <v>21.5</v>
      </c>
      <c r="H126" s="18" t="n">
        <v>86</v>
      </c>
      <c r="I126" s="18" t="n">
        <v>2.62</v>
      </c>
      <c r="J126" s="18" t="n">
        <v>2.65</v>
      </c>
      <c r="K126" s="18" t="n">
        <v>0.3</v>
      </c>
      <c r="L126" s="18" t="n">
        <v>2.01</v>
      </c>
      <c r="M126" s="18" t="n">
        <v>2.6</v>
      </c>
      <c r="N126" s="18" t="n">
        <v>0.73</v>
      </c>
      <c r="O126" s="18" t="n">
        <v>3.1</v>
      </c>
      <c r="P126" s="18" t="n">
        <v>380</v>
      </c>
      <c r="Q126" s="18" t="n">
        <v>3.19</v>
      </c>
      <c r="R126" s="18" t="n">
        <v>1.79</v>
      </c>
      <c r="S126" s="18" t="n">
        <v>24.1</v>
      </c>
    </row>
    <row r="127" ht="19" customHeight="1">
      <c r="A127" s="13" t="inlineStr">
        <is>
          <t>WINE-125</t>
        </is>
      </c>
      <c r="B127" s="14" t="inlineStr">
        <is>
          <t>Tuscany (Chianti Classico)</t>
        </is>
      </c>
      <c r="C127" s="13" t="n">
        <v>2019</v>
      </c>
      <c r="D127" s="15" t="n">
        <v>11.87</v>
      </c>
      <c r="E127" s="15" t="n">
        <v>4.31</v>
      </c>
      <c r="F127" s="15" t="n">
        <v>2.39</v>
      </c>
      <c r="G127" s="15" t="n">
        <v>21</v>
      </c>
      <c r="H127" s="15" t="n">
        <v>82</v>
      </c>
      <c r="I127" s="15" t="n">
        <v>2.86</v>
      </c>
      <c r="J127" s="15" t="n">
        <v>3.03</v>
      </c>
      <c r="K127" s="15" t="n">
        <v>0.21</v>
      </c>
      <c r="L127" s="15" t="n">
        <v>2.91</v>
      </c>
      <c r="M127" s="15" t="n">
        <v>2.8</v>
      </c>
      <c r="N127" s="15" t="n">
        <v>0.75</v>
      </c>
      <c r="O127" s="15" t="n">
        <v>3.64</v>
      </c>
      <c r="P127" s="15" t="n">
        <v>380</v>
      </c>
      <c r="Q127" s="15" t="n">
        <v>3.05</v>
      </c>
      <c r="R127" s="15" t="n">
        <v>2.6</v>
      </c>
      <c r="S127" s="15" t="n">
        <v>24.7</v>
      </c>
    </row>
    <row r="128" ht="19" customHeight="1">
      <c r="A128" s="16" t="inlineStr">
        <is>
          <t>WINE-126</t>
        </is>
      </c>
      <c r="B128" s="17" t="inlineStr">
        <is>
          <t>Tuscany (Chianti Classico)</t>
        </is>
      </c>
      <c r="C128" s="16" t="n">
        <v>2020</v>
      </c>
      <c r="D128" s="18" t="n">
        <v>12.07</v>
      </c>
      <c r="E128" s="18" t="n">
        <v>2.16</v>
      </c>
      <c r="F128" s="18" t="n">
        <v>2.17</v>
      </c>
      <c r="G128" s="18" t="n">
        <v>21</v>
      </c>
      <c r="H128" s="18" t="n">
        <v>85</v>
      </c>
      <c r="I128" s="18" t="n">
        <v>2.6</v>
      </c>
      <c r="J128" s="18" t="n">
        <v>2.65</v>
      </c>
      <c r="K128" s="18" t="n">
        <v>0.37</v>
      </c>
      <c r="L128" s="18" t="n">
        <v>1.35</v>
      </c>
      <c r="M128" s="18" t="n">
        <v>2.76</v>
      </c>
      <c r="N128" s="18" t="n">
        <v>0.86</v>
      </c>
      <c r="O128" s="18" t="n">
        <v>3.28</v>
      </c>
      <c r="P128" s="18" t="n">
        <v>378</v>
      </c>
      <c r="Q128" s="18" t="n">
        <v>3.36</v>
      </c>
      <c r="R128" s="18" t="n">
        <v>0.42</v>
      </c>
      <c r="S128" s="18" t="n">
        <v>28.4</v>
      </c>
    </row>
    <row r="129" ht="19" customHeight="1">
      <c r="A129" s="13" t="inlineStr">
        <is>
          <t>WINE-127</t>
        </is>
      </c>
      <c r="B129" s="14" t="inlineStr">
        <is>
          <t>Tuscany (Chianti Classico)</t>
        </is>
      </c>
      <c r="C129" s="13" t="n">
        <v>2021</v>
      </c>
      <c r="D129" s="15" t="n">
        <v>12.43</v>
      </c>
      <c r="E129" s="15" t="n">
        <v>1.53</v>
      </c>
      <c r="F129" s="15" t="n">
        <v>2.29</v>
      </c>
      <c r="G129" s="15" t="n">
        <v>21.5</v>
      </c>
      <c r="H129" s="15" t="n">
        <v>86</v>
      </c>
      <c r="I129" s="15" t="n">
        <v>2.74</v>
      </c>
      <c r="J129" s="15" t="n">
        <v>3.15</v>
      </c>
      <c r="K129" s="15" t="n">
        <v>0.39</v>
      </c>
      <c r="L129" s="15" t="n">
        <v>1.77</v>
      </c>
      <c r="M129" s="15" t="n">
        <v>3.94</v>
      </c>
      <c r="N129" s="15" t="n">
        <v>0.6899999999999999</v>
      </c>
      <c r="O129" s="15" t="n">
        <v>2.84</v>
      </c>
      <c r="P129" s="15" t="n">
        <v>352</v>
      </c>
      <c r="Q129" s="15" t="n">
        <v>2.93</v>
      </c>
      <c r="R129" s="15" t="n">
        <v>1.07</v>
      </c>
      <c r="S129" s="15" t="n">
        <v>24.8</v>
      </c>
    </row>
    <row r="130" ht="19" customHeight="1">
      <c r="A130" s="16" t="inlineStr">
        <is>
          <t>WINE-128</t>
        </is>
      </c>
      <c r="B130" s="17" t="inlineStr">
        <is>
          <t>Tuscany (Chianti Classico)</t>
        </is>
      </c>
      <c r="C130" s="16" t="n">
        <v>2022</v>
      </c>
      <c r="D130" s="18" t="n">
        <v>11.79</v>
      </c>
      <c r="E130" s="18" t="n">
        <v>2.13</v>
      </c>
      <c r="F130" s="18" t="n">
        <v>2.78</v>
      </c>
      <c r="G130" s="18" t="n">
        <v>28.5</v>
      </c>
      <c r="H130" s="18" t="n">
        <v>92</v>
      </c>
      <c r="I130" s="18" t="n">
        <v>2.13</v>
      </c>
      <c r="J130" s="18" t="n">
        <v>2.24</v>
      </c>
      <c r="K130" s="18" t="n">
        <v>0.58</v>
      </c>
      <c r="L130" s="18" t="n">
        <v>1.76</v>
      </c>
      <c r="M130" s="18" t="n">
        <v>3</v>
      </c>
      <c r="N130" s="18" t="n">
        <v>0.97</v>
      </c>
      <c r="O130" s="18" t="n">
        <v>2.44</v>
      </c>
      <c r="P130" s="18" t="n">
        <v>466</v>
      </c>
      <c r="Q130" s="18" t="n">
        <v>3.21</v>
      </c>
      <c r="R130" s="18" t="n">
        <v>1.79</v>
      </c>
      <c r="S130" s="18" t="n">
        <v>31.2</v>
      </c>
    </row>
    <row r="131" ht="19" customHeight="1">
      <c r="A131" s="13" t="inlineStr">
        <is>
          <t>WINE-129</t>
        </is>
      </c>
      <c r="B131" s="14" t="inlineStr">
        <is>
          <t>Tuscany (Chianti Classico)</t>
        </is>
      </c>
      <c r="C131" s="13" t="n">
        <v>2019</v>
      </c>
      <c r="D131" s="15" t="n">
        <v>12.37</v>
      </c>
      <c r="E131" s="15" t="n">
        <v>1.63</v>
      </c>
      <c r="F131" s="15" t="n">
        <v>2.3</v>
      </c>
      <c r="G131" s="15" t="n">
        <v>24.5</v>
      </c>
      <c r="H131" s="15" t="n">
        <v>88</v>
      </c>
      <c r="I131" s="15" t="n">
        <v>2.22</v>
      </c>
      <c r="J131" s="15" t="n">
        <v>2.45</v>
      </c>
      <c r="K131" s="15" t="n">
        <v>0.4</v>
      </c>
      <c r="L131" s="15" t="n">
        <v>1.9</v>
      </c>
      <c r="M131" s="15" t="n">
        <v>2.12</v>
      </c>
      <c r="N131" s="15" t="n">
        <v>0.89</v>
      </c>
      <c r="O131" s="15" t="n">
        <v>2.78</v>
      </c>
      <c r="P131" s="15" t="n">
        <v>342</v>
      </c>
      <c r="Q131" s="15" t="n">
        <v>3.37</v>
      </c>
      <c r="R131" s="15" t="n">
        <v>3.21</v>
      </c>
      <c r="S131" s="15" t="n">
        <v>27.4</v>
      </c>
    </row>
    <row r="132" ht="19" customHeight="1">
      <c r="A132" s="16" t="inlineStr">
        <is>
          <t>WINE-130</t>
        </is>
      </c>
      <c r="B132" s="17" t="inlineStr">
        <is>
          <t>Tuscany (Chianti Classico)</t>
        </is>
      </c>
      <c r="C132" s="16" t="n">
        <v>2020</v>
      </c>
      <c r="D132" s="18" t="n">
        <v>12.04</v>
      </c>
      <c r="E132" s="18" t="n">
        <v>4.3</v>
      </c>
      <c r="F132" s="18" t="n">
        <v>2.38</v>
      </c>
      <c r="G132" s="18" t="n">
        <v>22</v>
      </c>
      <c r="H132" s="18" t="n">
        <v>80</v>
      </c>
      <c r="I132" s="18" t="n">
        <v>2.1</v>
      </c>
      <c r="J132" s="18" t="n">
        <v>1.75</v>
      </c>
      <c r="K132" s="18" t="n">
        <v>0.42</v>
      </c>
      <c r="L132" s="18" t="n">
        <v>1.35</v>
      </c>
      <c r="M132" s="18" t="n">
        <v>2.6</v>
      </c>
      <c r="N132" s="18" t="n">
        <v>0.79</v>
      </c>
      <c r="O132" s="18" t="n">
        <v>2.57</v>
      </c>
      <c r="P132" s="18" t="n">
        <v>580</v>
      </c>
      <c r="Q132" s="18" t="n">
        <v>3.01</v>
      </c>
      <c r="R132" s="18" t="n">
        <v>1.14</v>
      </c>
      <c r="S132" s="18" t="n">
        <v>26.8</v>
      </c>
    </row>
    <row r="133" ht="19" customHeight="1">
      <c r="A133" s="13" t="inlineStr">
        <is>
          <t>WINE-131</t>
        </is>
      </c>
      <c r="B133" s="14" t="inlineStr">
        <is>
          <t>Veneto (Valpolicella)</t>
        </is>
      </c>
      <c r="C133" s="13" t="n">
        <v>2020</v>
      </c>
      <c r="D133" s="15" t="n">
        <v>12.86</v>
      </c>
      <c r="E133" s="15" t="n">
        <v>1.35</v>
      </c>
      <c r="F133" s="15" t="n">
        <v>2.32</v>
      </c>
      <c r="G133" s="15" t="n">
        <v>18</v>
      </c>
      <c r="H133" s="15" t="n">
        <v>122</v>
      </c>
      <c r="I133" s="15" t="n">
        <v>1.51</v>
      </c>
      <c r="J133" s="15" t="n">
        <v>1.25</v>
      </c>
      <c r="K133" s="15" t="n">
        <v>0.21</v>
      </c>
      <c r="L133" s="15" t="n">
        <v>0.9399999999999999</v>
      </c>
      <c r="M133" s="15" t="n">
        <v>4.1</v>
      </c>
      <c r="N133" s="15" t="n">
        <v>0.76</v>
      </c>
      <c r="O133" s="15" t="n">
        <v>1.29</v>
      </c>
      <c r="P133" s="15" t="n">
        <v>630</v>
      </c>
      <c r="Q133" s="15" t="n">
        <v>3.67</v>
      </c>
      <c r="R133" s="15" t="n">
        <v>2.44</v>
      </c>
      <c r="S133" s="15" t="n">
        <v>25</v>
      </c>
    </row>
    <row r="134" ht="19" customHeight="1">
      <c r="A134" s="16" t="inlineStr">
        <is>
          <t>WINE-132</t>
        </is>
      </c>
      <c r="B134" s="17" t="inlineStr">
        <is>
          <t>Veneto (Valpolicella)</t>
        </is>
      </c>
      <c r="C134" s="16" t="n">
        <v>2019</v>
      </c>
      <c r="D134" s="18" t="n">
        <v>12.88</v>
      </c>
      <c r="E134" s="18" t="n">
        <v>2.99</v>
      </c>
      <c r="F134" s="18" t="n">
        <v>2.4</v>
      </c>
      <c r="G134" s="18" t="n">
        <v>20</v>
      </c>
      <c r="H134" s="18" t="n">
        <v>104</v>
      </c>
      <c r="I134" s="18" t="n">
        <v>1.3</v>
      </c>
      <c r="J134" s="18" t="n">
        <v>1.22</v>
      </c>
      <c r="K134" s="18" t="n">
        <v>0.24</v>
      </c>
      <c r="L134" s="18" t="n">
        <v>0.83</v>
      </c>
      <c r="M134" s="18" t="n">
        <v>5.4</v>
      </c>
      <c r="N134" s="18" t="n">
        <v>0.74</v>
      </c>
      <c r="O134" s="18" t="n">
        <v>1.42</v>
      </c>
      <c r="P134" s="18" t="n">
        <v>530</v>
      </c>
      <c r="Q134" s="18" t="n">
        <v>3.08</v>
      </c>
      <c r="R134" s="18" t="n">
        <v>4.05</v>
      </c>
      <c r="S134" s="18" t="n">
        <v>27.8</v>
      </c>
    </row>
    <row r="135" ht="19" customHeight="1">
      <c r="A135" s="13" t="inlineStr">
        <is>
          <t>WINE-133</t>
        </is>
      </c>
      <c r="B135" s="14" t="inlineStr">
        <is>
          <t>Veneto (Valpolicella)</t>
        </is>
      </c>
      <c r="C135" s="13" t="n">
        <v>2019</v>
      </c>
      <c r="D135" s="15" t="n">
        <v>12.81</v>
      </c>
      <c r="E135" s="15" t="n">
        <v>2.31</v>
      </c>
      <c r="F135" s="15" t="n">
        <v>2.4</v>
      </c>
      <c r="G135" s="15" t="n">
        <v>24</v>
      </c>
      <c r="H135" s="15" t="n">
        <v>98</v>
      </c>
      <c r="I135" s="15" t="n">
        <v>1.15</v>
      </c>
      <c r="J135" s="15" t="n">
        <v>1.09</v>
      </c>
      <c r="K135" s="15" t="n">
        <v>0.27</v>
      </c>
      <c r="L135" s="15" t="n">
        <v>0.83</v>
      </c>
      <c r="M135" s="15" t="n">
        <v>5.7</v>
      </c>
      <c r="N135" s="15" t="n">
        <v>0.66</v>
      </c>
      <c r="O135" s="15" t="n">
        <v>1.36</v>
      </c>
      <c r="P135" s="15" t="n">
        <v>560</v>
      </c>
      <c r="Q135" s="15" t="n">
        <v>3.29</v>
      </c>
      <c r="R135" s="15" t="n">
        <v>2.51</v>
      </c>
      <c r="S135" s="15" t="n">
        <v>25.5</v>
      </c>
    </row>
    <row r="136" ht="19" customHeight="1">
      <c r="A136" s="16" t="inlineStr">
        <is>
          <t>WINE-134</t>
        </is>
      </c>
      <c r="B136" s="17" t="inlineStr">
        <is>
          <t>Veneto (Valpolicella)</t>
        </is>
      </c>
      <c r="C136" s="16" t="n">
        <v>2020</v>
      </c>
      <c r="D136" s="18" t="n">
        <v>12.7</v>
      </c>
      <c r="E136" s="18" t="n">
        <v>3.55</v>
      </c>
      <c r="F136" s="18" t="n">
        <v>2.36</v>
      </c>
      <c r="G136" s="18" t="n">
        <v>21.5</v>
      </c>
      <c r="H136" s="18" t="n">
        <v>106</v>
      </c>
      <c r="I136" s="18" t="n">
        <v>1.7</v>
      </c>
      <c r="J136" s="18" t="n">
        <v>1.2</v>
      </c>
      <c r="K136" s="18" t="n">
        <v>0.17</v>
      </c>
      <c r="L136" s="18" t="n">
        <v>0.84</v>
      </c>
      <c r="M136" s="18" t="n">
        <v>5</v>
      </c>
      <c r="N136" s="18" t="n">
        <v>0.78</v>
      </c>
      <c r="O136" s="18" t="n">
        <v>1.29</v>
      </c>
      <c r="P136" s="18" t="n">
        <v>600</v>
      </c>
      <c r="Q136" s="18" t="n">
        <v>3.27</v>
      </c>
      <c r="R136" s="18" t="n">
        <v>1.51</v>
      </c>
      <c r="S136" s="18" t="n">
        <v>26.7</v>
      </c>
    </row>
    <row r="137" ht="19" customHeight="1">
      <c r="A137" s="13" t="inlineStr">
        <is>
          <t>WINE-135</t>
        </is>
      </c>
      <c r="B137" s="14" t="inlineStr">
        <is>
          <t>Veneto (Valpolicella)</t>
        </is>
      </c>
      <c r="C137" s="13" t="n">
        <v>2022</v>
      </c>
      <c r="D137" s="15" t="n">
        <v>12.51</v>
      </c>
      <c r="E137" s="15" t="n">
        <v>1.24</v>
      </c>
      <c r="F137" s="15" t="n">
        <v>2.25</v>
      </c>
      <c r="G137" s="15" t="n">
        <v>17.5</v>
      </c>
      <c r="H137" s="15" t="n">
        <v>85</v>
      </c>
      <c r="I137" s="15" t="n">
        <v>2</v>
      </c>
      <c r="J137" s="15" t="n">
        <v>0.58</v>
      </c>
      <c r="K137" s="15" t="n">
        <v>0.6</v>
      </c>
      <c r="L137" s="15" t="n">
        <v>1.25</v>
      </c>
      <c r="M137" s="15" t="n">
        <v>5.45</v>
      </c>
      <c r="N137" s="15" t="n">
        <v>0.75</v>
      </c>
      <c r="O137" s="15" t="n">
        <v>1.51</v>
      </c>
      <c r="P137" s="15" t="n">
        <v>650</v>
      </c>
      <c r="Q137" s="15" t="n">
        <v>3.65</v>
      </c>
      <c r="R137" s="15" t="n">
        <v>2.21</v>
      </c>
      <c r="S137" s="15" t="n">
        <v>31.1</v>
      </c>
    </row>
    <row r="138" ht="19" customHeight="1">
      <c r="A138" s="16" t="inlineStr">
        <is>
          <t>WINE-136</t>
        </is>
      </c>
      <c r="B138" s="17" t="inlineStr">
        <is>
          <t>Veneto (Valpolicella)</t>
        </is>
      </c>
      <c r="C138" s="16" t="n">
        <v>2020</v>
      </c>
      <c r="D138" s="18" t="n">
        <v>12.6</v>
      </c>
      <c r="E138" s="18" t="n">
        <v>2.46</v>
      </c>
      <c r="F138" s="18" t="n">
        <v>2.2</v>
      </c>
      <c r="G138" s="18" t="n">
        <v>18.5</v>
      </c>
      <c r="H138" s="18" t="n">
        <v>94</v>
      </c>
      <c r="I138" s="18" t="n">
        <v>1.62</v>
      </c>
      <c r="J138" s="18" t="n">
        <v>0.66</v>
      </c>
      <c r="K138" s="18" t="n">
        <v>0.63</v>
      </c>
      <c r="L138" s="18" t="n">
        <v>0.9399999999999999</v>
      </c>
      <c r="M138" s="18" t="n">
        <v>7.1</v>
      </c>
      <c r="N138" s="18" t="n">
        <v>0.73</v>
      </c>
      <c r="O138" s="18" t="n">
        <v>1.58</v>
      </c>
      <c r="P138" s="18" t="n">
        <v>695</v>
      </c>
      <c r="Q138" s="18" t="n">
        <v>3.12</v>
      </c>
      <c r="R138" s="18" t="n">
        <v>1.11</v>
      </c>
      <c r="S138" s="18" t="n">
        <v>26.3</v>
      </c>
    </row>
    <row r="139" ht="19" customHeight="1">
      <c r="A139" s="13" t="inlineStr">
        <is>
          <t>WINE-137</t>
        </is>
      </c>
      <c r="B139" s="14" t="inlineStr">
        <is>
          <t>Veneto (Valpolicella)</t>
        </is>
      </c>
      <c r="C139" s="13" t="n">
        <v>2020</v>
      </c>
      <c r="D139" s="15" t="n">
        <v>12.25</v>
      </c>
      <c r="E139" s="15" t="n">
        <v>4.72</v>
      </c>
      <c r="F139" s="15" t="n">
        <v>2.54</v>
      </c>
      <c r="G139" s="15" t="n">
        <v>21</v>
      </c>
      <c r="H139" s="15" t="n">
        <v>89</v>
      </c>
      <c r="I139" s="15" t="n">
        <v>1.38</v>
      </c>
      <c r="J139" s="15" t="n">
        <v>0.47</v>
      </c>
      <c r="K139" s="15" t="n">
        <v>0.53</v>
      </c>
      <c r="L139" s="15" t="n">
        <v>0.8</v>
      </c>
      <c r="M139" s="15" t="n">
        <v>3.85</v>
      </c>
      <c r="N139" s="15" t="n">
        <v>0.75</v>
      </c>
      <c r="O139" s="15" t="n">
        <v>1.27</v>
      </c>
      <c r="P139" s="15" t="n">
        <v>720</v>
      </c>
      <c r="Q139" s="15" t="n">
        <v>3.33</v>
      </c>
      <c r="R139" s="15" t="n">
        <v>1.84</v>
      </c>
      <c r="S139" s="15" t="n">
        <v>28.6</v>
      </c>
    </row>
    <row r="140" ht="19" customHeight="1">
      <c r="A140" s="16" t="inlineStr">
        <is>
          <t>WINE-138</t>
        </is>
      </c>
      <c r="B140" s="17" t="inlineStr">
        <is>
          <t>Veneto (Valpolicella)</t>
        </is>
      </c>
      <c r="C140" s="16" t="n">
        <v>2021</v>
      </c>
      <c r="D140" s="18" t="n">
        <v>12.53</v>
      </c>
      <c r="E140" s="18" t="n">
        <v>5.51</v>
      </c>
      <c r="F140" s="18" t="n">
        <v>2.64</v>
      </c>
      <c r="G140" s="18" t="n">
        <v>25</v>
      </c>
      <c r="H140" s="18" t="n">
        <v>96</v>
      </c>
      <c r="I140" s="18" t="n">
        <v>1.79</v>
      </c>
      <c r="J140" s="18" t="n">
        <v>0.6</v>
      </c>
      <c r="K140" s="18" t="n">
        <v>0.63</v>
      </c>
      <c r="L140" s="18" t="n">
        <v>1.1</v>
      </c>
      <c r="M140" s="18" t="n">
        <v>5</v>
      </c>
      <c r="N140" s="18" t="n">
        <v>0.82</v>
      </c>
      <c r="O140" s="18" t="n">
        <v>1.69</v>
      </c>
      <c r="P140" s="18" t="n">
        <v>515</v>
      </c>
      <c r="Q140" s="18" t="n">
        <v>3.1</v>
      </c>
      <c r="R140" s="18" t="n">
        <v>1.56</v>
      </c>
      <c r="S140" s="18" t="n">
        <v>25.2</v>
      </c>
    </row>
    <row r="141" ht="19" customHeight="1">
      <c r="A141" s="13" t="inlineStr">
        <is>
          <t>WINE-139</t>
        </is>
      </c>
      <c r="B141" s="14" t="inlineStr">
        <is>
          <t>Veneto (Valpolicella)</t>
        </is>
      </c>
      <c r="C141" s="13" t="n">
        <v>2020</v>
      </c>
      <c r="D141" s="15" t="n">
        <v>13.49</v>
      </c>
      <c r="E141" s="15" t="n">
        <v>3.59</v>
      </c>
      <c r="F141" s="15" t="n">
        <v>2.19</v>
      </c>
      <c r="G141" s="15" t="n">
        <v>19.5</v>
      </c>
      <c r="H141" s="15" t="n">
        <v>88</v>
      </c>
      <c r="I141" s="15" t="n">
        <v>1.62</v>
      </c>
      <c r="J141" s="15" t="n">
        <v>0.48</v>
      </c>
      <c r="K141" s="15" t="n">
        <v>0.58</v>
      </c>
      <c r="L141" s="15" t="n">
        <v>0.88</v>
      </c>
      <c r="M141" s="15" t="n">
        <v>5.7</v>
      </c>
      <c r="N141" s="15" t="n">
        <v>0.8100000000000001</v>
      </c>
      <c r="O141" s="15" t="n">
        <v>1.82</v>
      </c>
      <c r="P141" s="15" t="n">
        <v>580</v>
      </c>
      <c r="Q141" s="15" t="n">
        <v>3.1</v>
      </c>
      <c r="R141" s="15" t="n">
        <v>2.16</v>
      </c>
      <c r="S141" s="15" t="n">
        <v>26.4</v>
      </c>
    </row>
    <row r="142" ht="19" customHeight="1">
      <c r="A142" s="16" t="inlineStr">
        <is>
          <t>WINE-140</t>
        </is>
      </c>
      <c r="B142" s="17" t="inlineStr">
        <is>
          <t>Veneto (Valpolicella)</t>
        </is>
      </c>
      <c r="C142" s="16" t="n">
        <v>2022</v>
      </c>
      <c r="D142" s="18" t="n">
        <v>12.84</v>
      </c>
      <c r="E142" s="18" t="n">
        <v>2.96</v>
      </c>
      <c r="F142" s="18" t="n">
        <v>2.61</v>
      </c>
      <c r="G142" s="18" t="n">
        <v>24</v>
      </c>
      <c r="H142" s="18" t="n">
        <v>101</v>
      </c>
      <c r="I142" s="18" t="n">
        <v>2.32</v>
      </c>
      <c r="J142" s="18" t="n">
        <v>0.6</v>
      </c>
      <c r="K142" s="18" t="n">
        <v>0.53</v>
      </c>
      <c r="L142" s="18" t="n">
        <v>0.8100000000000001</v>
      </c>
      <c r="M142" s="18" t="n">
        <v>4.92</v>
      </c>
      <c r="N142" s="18" t="n">
        <v>0.89</v>
      </c>
      <c r="O142" s="18" t="n">
        <v>2.15</v>
      </c>
      <c r="P142" s="18" t="n">
        <v>590</v>
      </c>
      <c r="Q142" s="18" t="n">
        <v>3.37</v>
      </c>
      <c r="R142" s="18" t="n">
        <v>1.29</v>
      </c>
      <c r="S142" s="18" t="n">
        <v>29.7</v>
      </c>
    </row>
    <row r="143" ht="19" customHeight="1">
      <c r="A143" s="13" t="inlineStr">
        <is>
          <t>WINE-141</t>
        </is>
      </c>
      <c r="B143" s="14" t="inlineStr">
        <is>
          <t>Veneto (Valpolicella)</t>
        </is>
      </c>
      <c r="C143" s="13" t="n">
        <v>2022</v>
      </c>
      <c r="D143" s="15" t="n">
        <v>12.93</v>
      </c>
      <c r="E143" s="15" t="n">
        <v>2.81</v>
      </c>
      <c r="F143" s="15" t="n">
        <v>2.7</v>
      </c>
      <c r="G143" s="15" t="n">
        <v>21</v>
      </c>
      <c r="H143" s="15" t="n">
        <v>96</v>
      </c>
      <c r="I143" s="15" t="n">
        <v>1.54</v>
      </c>
      <c r="J143" s="15" t="n">
        <v>0.5</v>
      </c>
      <c r="K143" s="15" t="n">
        <v>0.53</v>
      </c>
      <c r="L143" s="15" t="n">
        <v>0.75</v>
      </c>
      <c r="M143" s="15" t="n">
        <v>4.6</v>
      </c>
      <c r="N143" s="15" t="n">
        <v>0.77</v>
      </c>
      <c r="O143" s="15" t="n">
        <v>2.31</v>
      </c>
      <c r="P143" s="15" t="n">
        <v>600</v>
      </c>
      <c r="Q143" s="15" t="n">
        <v>3.34</v>
      </c>
      <c r="R143" s="15" t="n">
        <v>2.24</v>
      </c>
      <c r="S143" s="15" t="n">
        <v>25.4</v>
      </c>
    </row>
    <row r="144" ht="19" customHeight="1">
      <c r="A144" s="16" t="inlineStr">
        <is>
          <t>WINE-142</t>
        </is>
      </c>
      <c r="B144" s="17" t="inlineStr">
        <is>
          <t>Veneto (Valpolicella)</t>
        </is>
      </c>
      <c r="C144" s="16" t="n">
        <v>2020</v>
      </c>
      <c r="D144" s="18" t="n">
        <v>13.36</v>
      </c>
      <c r="E144" s="18" t="n">
        <v>2.56</v>
      </c>
      <c r="F144" s="18" t="n">
        <v>2.35</v>
      </c>
      <c r="G144" s="18" t="n">
        <v>20</v>
      </c>
      <c r="H144" s="18" t="n">
        <v>89</v>
      </c>
      <c r="I144" s="18" t="n">
        <v>1.4</v>
      </c>
      <c r="J144" s="18" t="n">
        <v>0.5</v>
      </c>
      <c r="K144" s="18" t="n">
        <v>0.37</v>
      </c>
      <c r="L144" s="18" t="n">
        <v>0.64</v>
      </c>
      <c r="M144" s="18" t="n">
        <v>5.6</v>
      </c>
      <c r="N144" s="18" t="n">
        <v>0.7</v>
      </c>
      <c r="O144" s="18" t="n">
        <v>2.47</v>
      </c>
      <c r="P144" s="18" t="n">
        <v>780</v>
      </c>
      <c r="Q144" s="18" t="n">
        <v>3.24</v>
      </c>
      <c r="R144" s="18" t="n">
        <v>1.28</v>
      </c>
      <c r="S144" s="18" t="n">
        <v>29.8</v>
      </c>
    </row>
    <row r="145" ht="19" customHeight="1">
      <c r="A145" s="13" t="inlineStr">
        <is>
          <t>WINE-143</t>
        </is>
      </c>
      <c r="B145" s="14" t="inlineStr">
        <is>
          <t>Veneto (Valpolicella)</t>
        </is>
      </c>
      <c r="C145" s="13" t="n">
        <v>2020</v>
      </c>
      <c r="D145" s="15" t="n">
        <v>13.52</v>
      </c>
      <c r="E145" s="15" t="n">
        <v>3.17</v>
      </c>
      <c r="F145" s="15" t="n">
        <v>2.72</v>
      </c>
      <c r="G145" s="15" t="n">
        <v>23.5</v>
      </c>
      <c r="H145" s="15" t="n">
        <v>97</v>
      </c>
      <c r="I145" s="15" t="n">
        <v>1.55</v>
      </c>
      <c r="J145" s="15" t="n">
        <v>0.52</v>
      </c>
      <c r="K145" s="15" t="n">
        <v>0.5</v>
      </c>
      <c r="L145" s="15" t="n">
        <v>0.55</v>
      </c>
      <c r="M145" s="15" t="n">
        <v>4.35</v>
      </c>
      <c r="N145" s="15" t="n">
        <v>0.89</v>
      </c>
      <c r="O145" s="15" t="n">
        <v>2.06</v>
      </c>
      <c r="P145" s="15" t="n">
        <v>520</v>
      </c>
      <c r="Q145" s="15" t="n">
        <v>3.29</v>
      </c>
      <c r="R145" s="15" t="n">
        <v>2.97</v>
      </c>
      <c r="S145" s="15" t="n">
        <v>27.8</v>
      </c>
    </row>
    <row r="146" ht="19" customHeight="1">
      <c r="A146" s="16" t="inlineStr">
        <is>
          <t>WINE-144</t>
        </is>
      </c>
      <c r="B146" s="17" t="inlineStr">
        <is>
          <t>Veneto (Valpolicella)</t>
        </is>
      </c>
      <c r="C146" s="16" t="n">
        <v>2020</v>
      </c>
      <c r="D146" s="18" t="n">
        <v>13.62</v>
      </c>
      <c r="E146" s="18" t="n">
        <v>4.95</v>
      </c>
      <c r="F146" s="18" t="n">
        <v>2.35</v>
      </c>
      <c r="G146" s="18" t="n">
        <v>20</v>
      </c>
      <c r="H146" s="18" t="n">
        <v>92</v>
      </c>
      <c r="I146" s="18" t="n">
        <v>2</v>
      </c>
      <c r="J146" s="18" t="n">
        <v>0.8</v>
      </c>
      <c r="K146" s="18" t="n">
        <v>0.47</v>
      </c>
      <c r="L146" s="18" t="n">
        <v>1.02</v>
      </c>
      <c r="M146" s="18" t="n">
        <v>4.4</v>
      </c>
      <c r="N146" s="18" t="n">
        <v>0.91</v>
      </c>
      <c r="O146" s="18" t="n">
        <v>2.05</v>
      </c>
      <c r="P146" s="18" t="n">
        <v>550</v>
      </c>
      <c r="Q146" s="18" t="n">
        <v>3.08</v>
      </c>
      <c r="R146" s="18" t="n">
        <v>1.38</v>
      </c>
      <c r="S146" s="18" t="n">
        <v>25.5</v>
      </c>
    </row>
    <row r="147" ht="19" customHeight="1">
      <c r="A147" s="13" t="inlineStr">
        <is>
          <t>WINE-145</t>
        </is>
      </c>
      <c r="B147" s="14" t="inlineStr">
        <is>
          <t>Veneto (Valpolicella)</t>
        </is>
      </c>
      <c r="C147" s="13" t="n">
        <v>2020</v>
      </c>
      <c r="D147" s="15" t="n">
        <v>12.25</v>
      </c>
      <c r="E147" s="15" t="n">
        <v>3.88</v>
      </c>
      <c r="F147" s="15" t="n">
        <v>2.2</v>
      </c>
      <c r="G147" s="15" t="n">
        <v>18.5</v>
      </c>
      <c r="H147" s="15" t="n">
        <v>112</v>
      </c>
      <c r="I147" s="15" t="n">
        <v>1.38</v>
      </c>
      <c r="J147" s="15" t="n">
        <v>0.78</v>
      </c>
      <c r="K147" s="15" t="n">
        <v>0.29</v>
      </c>
      <c r="L147" s="15" t="n">
        <v>1.14</v>
      </c>
      <c r="M147" s="15" t="n">
        <v>8.210000000000001</v>
      </c>
      <c r="N147" s="15" t="n">
        <v>0.65</v>
      </c>
      <c r="O147" s="15" t="n">
        <v>2</v>
      </c>
      <c r="P147" s="15" t="n">
        <v>855</v>
      </c>
      <c r="Q147" s="15" t="n">
        <v>3.24</v>
      </c>
      <c r="R147" s="15" t="n">
        <v>0.27</v>
      </c>
      <c r="S147" s="15" t="n">
        <v>27.6</v>
      </c>
    </row>
    <row r="148" ht="19" customHeight="1">
      <c r="A148" s="16" t="inlineStr">
        <is>
          <t>WINE-146</t>
        </is>
      </c>
      <c r="B148" s="17" t="inlineStr">
        <is>
          <t>Veneto (Valpolicella)</t>
        </is>
      </c>
      <c r="C148" s="16" t="n">
        <v>2019</v>
      </c>
      <c r="D148" s="18" t="n">
        <v>13.16</v>
      </c>
      <c r="E148" s="18" t="n">
        <v>3.57</v>
      </c>
      <c r="F148" s="18" t="n">
        <v>2.15</v>
      </c>
      <c r="G148" s="18" t="n">
        <v>21</v>
      </c>
      <c r="H148" s="18" t="n">
        <v>102</v>
      </c>
      <c r="I148" s="18" t="n">
        <v>1.5</v>
      </c>
      <c r="J148" s="18" t="n">
        <v>0.55</v>
      </c>
      <c r="K148" s="18" t="n">
        <v>0.43</v>
      </c>
      <c r="L148" s="18" t="n">
        <v>1.3</v>
      </c>
      <c r="M148" s="18" t="n">
        <v>4</v>
      </c>
      <c r="N148" s="18" t="n">
        <v>0.6</v>
      </c>
      <c r="O148" s="18" t="n">
        <v>1.68</v>
      </c>
      <c r="P148" s="18" t="n">
        <v>830</v>
      </c>
      <c r="Q148" s="18" t="n">
        <v>3.35</v>
      </c>
      <c r="R148" s="18" t="n">
        <v>0.8</v>
      </c>
      <c r="S148" s="18" t="n">
        <v>28.3</v>
      </c>
    </row>
    <row r="149" ht="19" customHeight="1">
      <c r="A149" s="13" t="inlineStr">
        <is>
          <t>WINE-147</t>
        </is>
      </c>
      <c r="B149" s="14" t="inlineStr">
        <is>
          <t>Veneto (Valpolicella)</t>
        </is>
      </c>
      <c r="C149" s="13" t="n">
        <v>2021</v>
      </c>
      <c r="D149" s="15" t="n">
        <v>13.88</v>
      </c>
      <c r="E149" s="15" t="n">
        <v>5.04</v>
      </c>
      <c r="F149" s="15" t="n">
        <v>2.23</v>
      </c>
      <c r="G149" s="15" t="n">
        <v>20</v>
      </c>
      <c r="H149" s="15" t="n">
        <v>80</v>
      </c>
      <c r="I149" s="15" t="n">
        <v>0.98</v>
      </c>
      <c r="J149" s="15" t="n">
        <v>0.34</v>
      </c>
      <c r="K149" s="15" t="n">
        <v>0.4</v>
      </c>
      <c r="L149" s="15" t="n">
        <v>0.68</v>
      </c>
      <c r="M149" s="15" t="n">
        <v>4.9</v>
      </c>
      <c r="N149" s="15" t="n">
        <v>0.58</v>
      </c>
      <c r="O149" s="15" t="n">
        <v>1.33</v>
      </c>
      <c r="P149" s="15" t="n">
        <v>415</v>
      </c>
      <c r="Q149" s="15" t="n">
        <v>3.37</v>
      </c>
      <c r="R149" s="15" t="n">
        <v>1.76</v>
      </c>
      <c r="S149" s="15" t="n">
        <v>27.6</v>
      </c>
    </row>
    <row r="150" ht="19" customHeight="1">
      <c r="A150" s="16" t="inlineStr">
        <is>
          <t>WINE-148</t>
        </is>
      </c>
      <c r="B150" s="17" t="inlineStr">
        <is>
          <t>Veneto (Valpolicella)</t>
        </is>
      </c>
      <c r="C150" s="16" t="n">
        <v>2020</v>
      </c>
      <c r="D150" s="18" t="n">
        <v>12.87</v>
      </c>
      <c r="E150" s="18" t="n">
        <v>4.61</v>
      </c>
      <c r="F150" s="18" t="n">
        <v>2.48</v>
      </c>
      <c r="G150" s="18" t="n">
        <v>21.5</v>
      </c>
      <c r="H150" s="18" t="n">
        <v>86</v>
      </c>
      <c r="I150" s="18" t="n">
        <v>1.7</v>
      </c>
      <c r="J150" s="18" t="n">
        <v>0.65</v>
      </c>
      <c r="K150" s="18" t="n">
        <v>0.47</v>
      </c>
      <c r="L150" s="18" t="n">
        <v>0.86</v>
      </c>
      <c r="M150" s="18" t="n">
        <v>7.65</v>
      </c>
      <c r="N150" s="18" t="n">
        <v>0.54</v>
      </c>
      <c r="O150" s="18" t="n">
        <v>1.86</v>
      </c>
      <c r="P150" s="18" t="n">
        <v>625</v>
      </c>
      <c r="Q150" s="18" t="n">
        <v>2.98</v>
      </c>
      <c r="R150" s="18" t="n">
        <v>4.55</v>
      </c>
      <c r="S150" s="18" t="n">
        <v>23.7</v>
      </c>
    </row>
    <row r="151" ht="19" customHeight="1">
      <c r="A151" s="13" t="inlineStr">
        <is>
          <t>WINE-149</t>
        </is>
      </c>
      <c r="B151" s="14" t="inlineStr">
        <is>
          <t>Veneto (Valpolicella)</t>
        </is>
      </c>
      <c r="C151" s="13" t="n">
        <v>2019</v>
      </c>
      <c r="D151" s="15" t="n">
        <v>13.32</v>
      </c>
      <c r="E151" s="15" t="n">
        <v>3.24</v>
      </c>
      <c r="F151" s="15" t="n">
        <v>2.38</v>
      </c>
      <c r="G151" s="15" t="n">
        <v>21.5</v>
      </c>
      <c r="H151" s="15" t="n">
        <v>92</v>
      </c>
      <c r="I151" s="15" t="n">
        <v>1.93</v>
      </c>
      <c r="J151" s="15" t="n">
        <v>0.76</v>
      </c>
      <c r="K151" s="15" t="n">
        <v>0.45</v>
      </c>
      <c r="L151" s="15" t="n">
        <v>1.25</v>
      </c>
      <c r="M151" s="15" t="n">
        <v>8.42</v>
      </c>
      <c r="N151" s="15" t="n">
        <v>0.55</v>
      </c>
      <c r="O151" s="15" t="n">
        <v>1.62</v>
      </c>
      <c r="P151" s="15" t="n">
        <v>650</v>
      </c>
      <c r="Q151" s="15" t="n">
        <v>3.6</v>
      </c>
      <c r="R151" s="15" t="n">
        <v>2.9</v>
      </c>
      <c r="S151" s="15" t="n">
        <v>25.2</v>
      </c>
    </row>
    <row r="152" ht="19" customHeight="1">
      <c r="A152" s="16" t="inlineStr">
        <is>
          <t>WINE-150</t>
        </is>
      </c>
      <c r="B152" s="17" t="inlineStr">
        <is>
          <t>Veneto (Valpolicella)</t>
        </is>
      </c>
      <c r="C152" s="16" t="n">
        <v>2020</v>
      </c>
      <c r="D152" s="18" t="n">
        <v>13.08</v>
      </c>
      <c r="E152" s="18" t="n">
        <v>3.9</v>
      </c>
      <c r="F152" s="18" t="n">
        <v>2.36</v>
      </c>
      <c r="G152" s="18" t="n">
        <v>21.5</v>
      </c>
      <c r="H152" s="18" t="n">
        <v>113</v>
      </c>
      <c r="I152" s="18" t="n">
        <v>1.41</v>
      </c>
      <c r="J152" s="18" t="n">
        <v>1.39</v>
      </c>
      <c r="K152" s="18" t="n">
        <v>0.34</v>
      </c>
      <c r="L152" s="18" t="n">
        <v>1.14</v>
      </c>
      <c r="M152" s="18" t="n">
        <v>9.4</v>
      </c>
      <c r="N152" s="18" t="n">
        <v>0.57</v>
      </c>
      <c r="O152" s="18" t="n">
        <v>1.33</v>
      </c>
      <c r="P152" s="18" t="n">
        <v>550</v>
      </c>
      <c r="Q152" s="18" t="n">
        <v>2.93</v>
      </c>
      <c r="R152" s="18" t="n">
        <v>0.22</v>
      </c>
      <c r="S152" s="18" t="n">
        <v>26.1</v>
      </c>
    </row>
    <row r="153" ht="19" customHeight="1">
      <c r="A153" s="13" t="inlineStr">
        <is>
          <t>WINE-151</t>
        </is>
      </c>
      <c r="B153" s="14" t="inlineStr">
        <is>
          <t>Veneto (Valpolicella)</t>
        </is>
      </c>
      <c r="C153" s="13" t="n">
        <v>2022</v>
      </c>
      <c r="D153" s="15" t="n">
        <v>13.5</v>
      </c>
      <c r="E153" s="15" t="n">
        <v>3.12</v>
      </c>
      <c r="F153" s="15" t="n">
        <v>2.62</v>
      </c>
      <c r="G153" s="15" t="n">
        <v>24</v>
      </c>
      <c r="H153" s="15" t="n">
        <v>123</v>
      </c>
      <c r="I153" s="15" t="n">
        <v>1.4</v>
      </c>
      <c r="J153" s="15" t="n">
        <v>1.57</v>
      </c>
      <c r="K153" s="15" t="n">
        <v>0.22</v>
      </c>
      <c r="L153" s="15" t="n">
        <v>1.25</v>
      </c>
      <c r="M153" s="15" t="n">
        <v>8.6</v>
      </c>
      <c r="N153" s="15" t="n">
        <v>0.59</v>
      </c>
      <c r="O153" s="15" t="n">
        <v>1.3</v>
      </c>
      <c r="P153" s="15" t="n">
        <v>500</v>
      </c>
      <c r="Q153" s="15" t="n">
        <v>3.26</v>
      </c>
      <c r="R153" s="15" t="n">
        <v>0.51</v>
      </c>
      <c r="S153" s="15" t="n">
        <v>26.4</v>
      </c>
    </row>
    <row r="154" ht="19" customHeight="1">
      <c r="A154" s="16" t="inlineStr">
        <is>
          <t>WINE-152</t>
        </is>
      </c>
      <c r="B154" s="17" t="inlineStr">
        <is>
          <t>Veneto (Valpolicella)</t>
        </is>
      </c>
      <c r="C154" s="16" t="n">
        <v>2019</v>
      </c>
      <c r="D154" s="18" t="n">
        <v>12.79</v>
      </c>
      <c r="E154" s="18" t="n">
        <v>2.67</v>
      </c>
      <c r="F154" s="18" t="n">
        <v>2.48</v>
      </c>
      <c r="G154" s="18" t="n">
        <v>22</v>
      </c>
      <c r="H154" s="18" t="n">
        <v>112</v>
      </c>
      <c r="I154" s="18" t="n">
        <v>1.48</v>
      </c>
      <c r="J154" s="18" t="n">
        <v>1.36</v>
      </c>
      <c r="K154" s="18" t="n">
        <v>0.24</v>
      </c>
      <c r="L154" s="18" t="n">
        <v>1.26</v>
      </c>
      <c r="M154" s="18" t="n">
        <v>10.8</v>
      </c>
      <c r="N154" s="18" t="n">
        <v>0.48</v>
      </c>
      <c r="O154" s="18" t="n">
        <v>1.47</v>
      </c>
      <c r="P154" s="18" t="n">
        <v>480</v>
      </c>
      <c r="Q154" s="18" t="n">
        <v>3.41</v>
      </c>
      <c r="R154" s="18" t="n">
        <v>3.46</v>
      </c>
      <c r="S154" s="18" t="n">
        <v>27.6</v>
      </c>
    </row>
    <row r="155" ht="19" customHeight="1">
      <c r="A155" s="13" t="inlineStr">
        <is>
          <t>WINE-153</t>
        </is>
      </c>
      <c r="B155" s="14" t="inlineStr">
        <is>
          <t>Veneto (Valpolicella)</t>
        </is>
      </c>
      <c r="C155" s="13" t="n">
        <v>2019</v>
      </c>
      <c r="D155" s="15" t="n">
        <v>13.11</v>
      </c>
      <c r="E155" s="15" t="n">
        <v>1.9</v>
      </c>
      <c r="F155" s="15" t="n">
        <v>2.75</v>
      </c>
      <c r="G155" s="15" t="n">
        <v>25.5</v>
      </c>
      <c r="H155" s="15" t="n">
        <v>116</v>
      </c>
      <c r="I155" s="15" t="n">
        <v>2.2</v>
      </c>
      <c r="J155" s="15" t="n">
        <v>1.28</v>
      </c>
      <c r="K155" s="15" t="n">
        <v>0.26</v>
      </c>
      <c r="L155" s="15" t="n">
        <v>1.56</v>
      </c>
      <c r="M155" s="15" t="n">
        <v>7.1</v>
      </c>
      <c r="N155" s="15" t="n">
        <v>0.61</v>
      </c>
      <c r="O155" s="15" t="n">
        <v>1.33</v>
      </c>
      <c r="P155" s="15" t="n">
        <v>425</v>
      </c>
      <c r="Q155" s="15" t="n">
        <v>3.43</v>
      </c>
      <c r="R155" s="15" t="n">
        <v>2.59</v>
      </c>
      <c r="S155" s="15" t="n">
        <v>26.8</v>
      </c>
    </row>
    <row r="156" ht="19" customHeight="1">
      <c r="A156" s="16" t="inlineStr">
        <is>
          <t>WINE-154</t>
        </is>
      </c>
      <c r="B156" s="17" t="inlineStr">
        <is>
          <t>Veneto (Valpolicella)</t>
        </is>
      </c>
      <c r="C156" s="16" t="n">
        <v>2020</v>
      </c>
      <c r="D156" s="18" t="n">
        <v>13.23</v>
      </c>
      <c r="E156" s="18" t="n">
        <v>3.3</v>
      </c>
      <c r="F156" s="18" t="n">
        <v>2.28</v>
      </c>
      <c r="G156" s="18" t="n">
        <v>18.5</v>
      </c>
      <c r="H156" s="18" t="n">
        <v>98</v>
      </c>
      <c r="I156" s="18" t="n">
        <v>1.8</v>
      </c>
      <c r="J156" s="18" t="n">
        <v>0.83</v>
      </c>
      <c r="K156" s="18" t="n">
        <v>0.61</v>
      </c>
      <c r="L156" s="18" t="n">
        <v>1.87</v>
      </c>
      <c r="M156" s="18" t="n">
        <v>10.52</v>
      </c>
      <c r="N156" s="18" t="n">
        <v>0.5600000000000001</v>
      </c>
      <c r="O156" s="18" t="n">
        <v>1.51</v>
      </c>
      <c r="P156" s="18" t="n">
        <v>675</v>
      </c>
      <c r="Q156" s="18" t="n">
        <v>3.18</v>
      </c>
      <c r="R156" s="18" t="n">
        <v>6.02</v>
      </c>
      <c r="S156" s="18" t="n">
        <v>24.1</v>
      </c>
    </row>
    <row r="157" ht="19" customHeight="1">
      <c r="A157" s="13" t="inlineStr">
        <is>
          <t>WINE-155</t>
        </is>
      </c>
      <c r="B157" s="14" t="inlineStr">
        <is>
          <t>Veneto (Valpolicella)</t>
        </is>
      </c>
      <c r="C157" s="13" t="n">
        <v>2022</v>
      </c>
      <c r="D157" s="15" t="n">
        <v>12.58</v>
      </c>
      <c r="E157" s="15" t="n">
        <v>1.29</v>
      </c>
      <c r="F157" s="15" t="n">
        <v>2.1</v>
      </c>
      <c r="G157" s="15" t="n">
        <v>20</v>
      </c>
      <c r="H157" s="15" t="n">
        <v>103</v>
      </c>
      <c r="I157" s="15" t="n">
        <v>1.48</v>
      </c>
      <c r="J157" s="15" t="n">
        <v>0.58</v>
      </c>
      <c r="K157" s="15" t="n">
        <v>0.53</v>
      </c>
      <c r="L157" s="15" t="n">
        <v>1.4</v>
      </c>
      <c r="M157" s="15" t="n">
        <v>7.6</v>
      </c>
      <c r="N157" s="15" t="n">
        <v>0.58</v>
      </c>
      <c r="O157" s="15" t="n">
        <v>1.55</v>
      </c>
      <c r="P157" s="15" t="n">
        <v>640</v>
      </c>
      <c r="Q157" s="15" t="n">
        <v>3.4</v>
      </c>
      <c r="R157" s="15" t="n">
        <v>1.25</v>
      </c>
      <c r="S157" s="15" t="n">
        <v>27.2</v>
      </c>
    </row>
    <row r="158" ht="19" customHeight="1">
      <c r="A158" s="16" t="inlineStr">
        <is>
          <t>WINE-156</t>
        </is>
      </c>
      <c r="B158" s="17" t="inlineStr">
        <is>
          <t>Veneto (Valpolicella)</t>
        </is>
      </c>
      <c r="C158" s="16" t="n">
        <v>2019</v>
      </c>
      <c r="D158" s="18" t="n">
        <v>13.17</v>
      </c>
      <c r="E158" s="18" t="n">
        <v>5.19</v>
      </c>
      <c r="F158" s="18" t="n">
        <v>2.32</v>
      </c>
      <c r="G158" s="18" t="n">
        <v>22</v>
      </c>
      <c r="H158" s="18" t="n">
        <v>93</v>
      </c>
      <c r="I158" s="18" t="n">
        <v>1.74</v>
      </c>
      <c r="J158" s="18" t="n">
        <v>0.63</v>
      </c>
      <c r="K158" s="18" t="n">
        <v>0.61</v>
      </c>
      <c r="L158" s="18" t="n">
        <v>1.55</v>
      </c>
      <c r="M158" s="18" t="n">
        <v>7.9</v>
      </c>
      <c r="N158" s="18" t="n">
        <v>0.6</v>
      </c>
      <c r="O158" s="18" t="n">
        <v>1.48</v>
      </c>
      <c r="P158" s="18" t="n">
        <v>725</v>
      </c>
      <c r="Q158" s="18" t="n">
        <v>3.05</v>
      </c>
      <c r="R158" s="18" t="n">
        <v>0.91</v>
      </c>
      <c r="S158" s="18" t="n">
        <v>27.6</v>
      </c>
    </row>
    <row r="159" ht="19" customHeight="1">
      <c r="A159" s="13" t="inlineStr">
        <is>
          <t>WINE-157</t>
        </is>
      </c>
      <c r="B159" s="14" t="inlineStr">
        <is>
          <t>Veneto (Valpolicella)</t>
        </is>
      </c>
      <c r="C159" s="13" t="n">
        <v>2021</v>
      </c>
      <c r="D159" s="15" t="n">
        <v>13.84</v>
      </c>
      <c r="E159" s="15" t="n">
        <v>4.12</v>
      </c>
      <c r="F159" s="15" t="n">
        <v>2.38</v>
      </c>
      <c r="G159" s="15" t="n">
        <v>19.5</v>
      </c>
      <c r="H159" s="15" t="n">
        <v>89</v>
      </c>
      <c r="I159" s="15" t="n">
        <v>1.8</v>
      </c>
      <c r="J159" s="15" t="n">
        <v>0.83</v>
      </c>
      <c r="K159" s="15" t="n">
        <v>0.48</v>
      </c>
      <c r="L159" s="15" t="n">
        <v>1.56</v>
      </c>
      <c r="M159" s="15" t="n">
        <v>9.01</v>
      </c>
      <c r="N159" s="15" t="n">
        <v>0.57</v>
      </c>
      <c r="O159" s="15" t="n">
        <v>1.64</v>
      </c>
      <c r="P159" s="15" t="n">
        <v>480</v>
      </c>
      <c r="Q159" s="15" t="n">
        <v>3.12</v>
      </c>
      <c r="R159" s="15" t="n">
        <v>1.82</v>
      </c>
      <c r="S159" s="15" t="n">
        <v>27.5</v>
      </c>
    </row>
    <row r="160" ht="19" customHeight="1">
      <c r="A160" s="16" t="inlineStr">
        <is>
          <t>WINE-158</t>
        </is>
      </c>
      <c r="B160" s="17" t="inlineStr">
        <is>
          <t>Veneto (Valpolicella)</t>
        </is>
      </c>
      <c r="C160" s="16" t="n">
        <v>2021</v>
      </c>
      <c r="D160" s="18" t="n">
        <v>12.45</v>
      </c>
      <c r="E160" s="18" t="n">
        <v>3.03</v>
      </c>
      <c r="F160" s="18" t="n">
        <v>2.64</v>
      </c>
      <c r="G160" s="18" t="n">
        <v>27</v>
      </c>
      <c r="H160" s="18" t="n">
        <v>97</v>
      </c>
      <c r="I160" s="18" t="n">
        <v>1.9</v>
      </c>
      <c r="J160" s="18" t="n">
        <v>0.58</v>
      </c>
      <c r="K160" s="18" t="n">
        <v>0.63</v>
      </c>
      <c r="L160" s="18" t="n">
        <v>1.14</v>
      </c>
      <c r="M160" s="18" t="n">
        <v>7.5</v>
      </c>
      <c r="N160" s="18" t="n">
        <v>0.67</v>
      </c>
      <c r="O160" s="18" t="n">
        <v>1.73</v>
      </c>
      <c r="P160" s="18" t="n">
        <v>880</v>
      </c>
      <c r="Q160" s="18" t="n">
        <v>3.42</v>
      </c>
      <c r="R160" s="18" t="n">
        <v>1.23</v>
      </c>
      <c r="S160" s="18" t="n">
        <v>28.4</v>
      </c>
    </row>
    <row r="161" ht="19" customHeight="1">
      <c r="A161" s="13" t="inlineStr">
        <is>
          <t>WINE-159</t>
        </is>
      </c>
      <c r="B161" s="14" t="inlineStr">
        <is>
          <t>Veneto (Valpolicella)</t>
        </is>
      </c>
      <c r="C161" s="13" t="n">
        <v>2019</v>
      </c>
      <c r="D161" s="15" t="n">
        <v>14.34</v>
      </c>
      <c r="E161" s="15" t="n">
        <v>1.68</v>
      </c>
      <c r="F161" s="15" t="n">
        <v>2.7</v>
      </c>
      <c r="G161" s="15" t="n">
        <v>25</v>
      </c>
      <c r="H161" s="15" t="n">
        <v>98</v>
      </c>
      <c r="I161" s="15" t="n">
        <v>2.8</v>
      </c>
      <c r="J161" s="15" t="n">
        <v>1.31</v>
      </c>
      <c r="K161" s="15" t="n">
        <v>0.53</v>
      </c>
      <c r="L161" s="15" t="n">
        <v>2.7</v>
      </c>
      <c r="M161" s="15" t="n">
        <v>13</v>
      </c>
      <c r="N161" s="15" t="n">
        <v>0.57</v>
      </c>
      <c r="O161" s="15" t="n">
        <v>1.96</v>
      </c>
      <c r="P161" s="15" t="n">
        <v>660</v>
      </c>
      <c r="Q161" s="15" t="n">
        <v>3.46</v>
      </c>
      <c r="R161" s="15" t="n">
        <v>3.26</v>
      </c>
      <c r="S161" s="15" t="n">
        <v>28</v>
      </c>
    </row>
    <row r="162" ht="19" customHeight="1">
      <c r="A162" s="16" t="inlineStr">
        <is>
          <t>WINE-160</t>
        </is>
      </c>
      <c r="B162" s="17" t="inlineStr">
        <is>
          <t>Veneto (Valpolicella)</t>
        </is>
      </c>
      <c r="C162" s="16" t="n">
        <v>2021</v>
      </c>
      <c r="D162" s="18" t="n">
        <v>13.48</v>
      </c>
      <c r="E162" s="18" t="n">
        <v>1.67</v>
      </c>
      <c r="F162" s="18" t="n">
        <v>2.64</v>
      </c>
      <c r="G162" s="18" t="n">
        <v>22.5</v>
      </c>
      <c r="H162" s="18" t="n">
        <v>89</v>
      </c>
      <c r="I162" s="18" t="n">
        <v>2.6</v>
      </c>
      <c r="J162" s="18" t="n">
        <v>1.1</v>
      </c>
      <c r="K162" s="18" t="n">
        <v>0.52</v>
      </c>
      <c r="L162" s="18" t="n">
        <v>2.29</v>
      </c>
      <c r="M162" s="18" t="n">
        <v>11.75</v>
      </c>
      <c r="N162" s="18" t="n">
        <v>0.57</v>
      </c>
      <c r="O162" s="18" t="n">
        <v>1.78</v>
      </c>
      <c r="P162" s="18" t="n">
        <v>620</v>
      </c>
      <c r="Q162" s="18" t="n">
        <v>3.3</v>
      </c>
      <c r="R162" s="18" t="n">
        <v>1.2</v>
      </c>
      <c r="S162" s="18" t="n">
        <v>27.3</v>
      </c>
    </row>
    <row r="163" ht="19" customHeight="1">
      <c r="A163" s="13" t="inlineStr">
        <is>
          <t>WINE-161</t>
        </is>
      </c>
      <c r="B163" s="14" t="inlineStr">
        <is>
          <t>Veneto (Valpolicella)</t>
        </is>
      </c>
      <c r="C163" s="13" t="n">
        <v>2020</v>
      </c>
      <c r="D163" s="15" t="n">
        <v>12.36</v>
      </c>
      <c r="E163" s="15" t="n">
        <v>3.83</v>
      </c>
      <c r="F163" s="15" t="n">
        <v>2.38</v>
      </c>
      <c r="G163" s="15" t="n">
        <v>21</v>
      </c>
      <c r="H163" s="15" t="n">
        <v>88</v>
      </c>
      <c r="I163" s="15" t="n">
        <v>2.3</v>
      </c>
      <c r="J163" s="15" t="n">
        <v>0.92</v>
      </c>
      <c r="K163" s="15" t="n">
        <v>0.5</v>
      </c>
      <c r="L163" s="15" t="n">
        <v>1.04</v>
      </c>
      <c r="M163" s="15" t="n">
        <v>7.65</v>
      </c>
      <c r="N163" s="15" t="n">
        <v>0.5600000000000001</v>
      </c>
      <c r="O163" s="15" t="n">
        <v>1.58</v>
      </c>
      <c r="P163" s="15" t="n">
        <v>520</v>
      </c>
      <c r="Q163" s="15" t="n">
        <v>3.37</v>
      </c>
      <c r="R163" s="15" t="n">
        <v>1.43</v>
      </c>
      <c r="S163" s="15" t="n">
        <v>26.4</v>
      </c>
    </row>
    <row r="164" ht="19" customHeight="1">
      <c r="A164" s="16" t="inlineStr">
        <is>
          <t>WINE-162</t>
        </is>
      </c>
      <c r="B164" s="17" t="inlineStr">
        <is>
          <t>Veneto (Valpolicella)</t>
        </is>
      </c>
      <c r="C164" s="16" t="n">
        <v>2021</v>
      </c>
      <c r="D164" s="18" t="n">
        <v>13.69</v>
      </c>
      <c r="E164" s="18" t="n">
        <v>3.26</v>
      </c>
      <c r="F164" s="18" t="n">
        <v>2.54</v>
      </c>
      <c r="G164" s="18" t="n">
        <v>20</v>
      </c>
      <c r="H164" s="18" t="n">
        <v>107</v>
      </c>
      <c r="I164" s="18" t="n">
        <v>1.83</v>
      </c>
      <c r="J164" s="18" t="n">
        <v>0.5600000000000001</v>
      </c>
      <c r="K164" s="18" t="n">
        <v>0.5</v>
      </c>
      <c r="L164" s="18" t="n">
        <v>0.8</v>
      </c>
      <c r="M164" s="18" t="n">
        <v>5.88</v>
      </c>
      <c r="N164" s="18" t="n">
        <v>0.96</v>
      </c>
      <c r="O164" s="18" t="n">
        <v>1.82</v>
      </c>
      <c r="P164" s="18" t="n">
        <v>680</v>
      </c>
      <c r="Q164" s="18" t="n">
        <v>3.32</v>
      </c>
      <c r="R164" s="18" t="n">
        <v>0.82</v>
      </c>
      <c r="S164" s="18" t="n">
        <v>23.5</v>
      </c>
    </row>
    <row r="165" ht="19" customHeight="1">
      <c r="A165" s="13" t="inlineStr">
        <is>
          <t>WINE-163</t>
        </is>
      </c>
      <c r="B165" s="14" t="inlineStr">
        <is>
          <t>Veneto (Valpolicella)</t>
        </is>
      </c>
      <c r="C165" s="13" t="n">
        <v>2021</v>
      </c>
      <c r="D165" s="15" t="n">
        <v>12.85</v>
      </c>
      <c r="E165" s="15" t="n">
        <v>3.27</v>
      </c>
      <c r="F165" s="15" t="n">
        <v>2.58</v>
      </c>
      <c r="G165" s="15" t="n">
        <v>22</v>
      </c>
      <c r="H165" s="15" t="n">
        <v>106</v>
      </c>
      <c r="I165" s="15" t="n">
        <v>1.65</v>
      </c>
      <c r="J165" s="15" t="n">
        <v>0.6</v>
      </c>
      <c r="K165" s="15" t="n">
        <v>0.6</v>
      </c>
      <c r="L165" s="15" t="n">
        <v>0.96</v>
      </c>
      <c r="M165" s="15" t="n">
        <v>5.58</v>
      </c>
      <c r="N165" s="15" t="n">
        <v>0.87</v>
      </c>
      <c r="O165" s="15" t="n">
        <v>2.11</v>
      </c>
      <c r="P165" s="15" t="n">
        <v>570</v>
      </c>
      <c r="Q165" s="15" t="n">
        <v>3.4</v>
      </c>
      <c r="R165" s="15" t="n">
        <v>2.79</v>
      </c>
      <c r="S165" s="15" t="n">
        <v>27.3</v>
      </c>
    </row>
    <row r="166" ht="19" customHeight="1">
      <c r="A166" s="16" t="inlineStr">
        <is>
          <t>WINE-164</t>
        </is>
      </c>
      <c r="B166" s="17" t="inlineStr">
        <is>
          <t>Veneto (Valpolicella)</t>
        </is>
      </c>
      <c r="C166" s="16" t="n">
        <v>2020</v>
      </c>
      <c r="D166" s="18" t="n">
        <v>12.96</v>
      </c>
      <c r="E166" s="18" t="n">
        <v>3.45</v>
      </c>
      <c r="F166" s="18" t="n">
        <v>2.35</v>
      </c>
      <c r="G166" s="18" t="n">
        <v>18.5</v>
      </c>
      <c r="H166" s="18" t="n">
        <v>106</v>
      </c>
      <c r="I166" s="18" t="n">
        <v>1.39</v>
      </c>
      <c r="J166" s="18" t="n">
        <v>0.7</v>
      </c>
      <c r="K166" s="18" t="n">
        <v>0.4</v>
      </c>
      <c r="L166" s="18" t="n">
        <v>0.9399999999999999</v>
      </c>
      <c r="M166" s="18" t="n">
        <v>5.28</v>
      </c>
      <c r="N166" s="18" t="n">
        <v>0.68</v>
      </c>
      <c r="O166" s="18" t="n">
        <v>1.75</v>
      </c>
      <c r="P166" s="18" t="n">
        <v>675</v>
      </c>
      <c r="Q166" s="18" t="n">
        <v>3.36</v>
      </c>
      <c r="R166" s="18" t="n">
        <v>0.86</v>
      </c>
      <c r="S166" s="18" t="n">
        <v>26.9</v>
      </c>
    </row>
    <row r="167" ht="19" customHeight="1">
      <c r="A167" s="13" t="inlineStr">
        <is>
          <t>WINE-165</t>
        </is>
      </c>
      <c r="B167" s="14" t="inlineStr">
        <is>
          <t>Veneto (Valpolicella)</t>
        </is>
      </c>
      <c r="C167" s="13" t="n">
        <v>2019</v>
      </c>
      <c r="D167" s="15" t="n">
        <v>13.78</v>
      </c>
      <c r="E167" s="15" t="n">
        <v>2.76</v>
      </c>
      <c r="F167" s="15" t="n">
        <v>2.3</v>
      </c>
      <c r="G167" s="15" t="n">
        <v>22</v>
      </c>
      <c r="H167" s="15" t="n">
        <v>90</v>
      </c>
      <c r="I167" s="15" t="n">
        <v>1.35</v>
      </c>
      <c r="J167" s="15" t="n">
        <v>0.68</v>
      </c>
      <c r="K167" s="15" t="n">
        <v>0.41</v>
      </c>
      <c r="L167" s="15" t="n">
        <v>1.03</v>
      </c>
      <c r="M167" s="15" t="n">
        <v>9.58</v>
      </c>
      <c r="N167" s="15" t="n">
        <v>0.7</v>
      </c>
      <c r="O167" s="15" t="n">
        <v>1.68</v>
      </c>
      <c r="P167" s="15" t="n">
        <v>615</v>
      </c>
      <c r="Q167" s="15" t="n">
        <v>3.19</v>
      </c>
      <c r="R167" s="15" t="n">
        <v>2.27</v>
      </c>
      <c r="S167" s="15" t="n">
        <v>27</v>
      </c>
    </row>
    <row r="168" ht="19" customHeight="1">
      <c r="A168" s="16" t="inlineStr">
        <is>
          <t>WINE-166</t>
        </is>
      </c>
      <c r="B168" s="17" t="inlineStr">
        <is>
          <t>Veneto (Valpolicella)</t>
        </is>
      </c>
      <c r="C168" s="16" t="n">
        <v>2021</v>
      </c>
      <c r="D168" s="18" t="n">
        <v>13.73</v>
      </c>
      <c r="E168" s="18" t="n">
        <v>4.36</v>
      </c>
      <c r="F168" s="18" t="n">
        <v>2.26</v>
      </c>
      <c r="G168" s="18" t="n">
        <v>22.5</v>
      </c>
      <c r="H168" s="18" t="n">
        <v>88</v>
      </c>
      <c r="I168" s="18" t="n">
        <v>1.28</v>
      </c>
      <c r="J168" s="18" t="n">
        <v>0.47</v>
      </c>
      <c r="K168" s="18" t="n">
        <v>0.52</v>
      </c>
      <c r="L168" s="18" t="n">
        <v>1.15</v>
      </c>
      <c r="M168" s="18" t="n">
        <v>6.62</v>
      </c>
      <c r="N168" s="18" t="n">
        <v>0.78</v>
      </c>
      <c r="O168" s="18" t="n">
        <v>1.75</v>
      </c>
      <c r="P168" s="18" t="n">
        <v>520</v>
      </c>
      <c r="Q168" s="18" t="n">
        <v>3.1</v>
      </c>
      <c r="R168" s="18" t="n">
        <v>5.02</v>
      </c>
      <c r="S168" s="18" t="n">
        <v>24.2</v>
      </c>
    </row>
    <row r="169" ht="19" customHeight="1">
      <c r="A169" s="13" t="inlineStr">
        <is>
          <t>WINE-167</t>
        </is>
      </c>
      <c r="B169" s="14" t="inlineStr">
        <is>
          <t>Veneto (Valpolicella)</t>
        </is>
      </c>
      <c r="C169" s="13" t="n">
        <v>2020</v>
      </c>
      <c r="D169" s="15" t="n">
        <v>13.45</v>
      </c>
      <c r="E169" s="15" t="n">
        <v>3.7</v>
      </c>
      <c r="F169" s="15" t="n">
        <v>2.6</v>
      </c>
      <c r="G169" s="15" t="n">
        <v>23</v>
      </c>
      <c r="H169" s="15" t="n">
        <v>111</v>
      </c>
      <c r="I169" s="15" t="n">
        <v>1.7</v>
      </c>
      <c r="J169" s="15" t="n">
        <v>0.92</v>
      </c>
      <c r="K169" s="15" t="n">
        <v>0.43</v>
      </c>
      <c r="L169" s="15" t="n">
        <v>1.46</v>
      </c>
      <c r="M169" s="15" t="n">
        <v>10.68</v>
      </c>
      <c r="N169" s="15" t="n">
        <v>0.85</v>
      </c>
      <c r="O169" s="15" t="n">
        <v>1.56</v>
      </c>
      <c r="P169" s="15" t="n">
        <v>695</v>
      </c>
      <c r="Q169" s="15" t="n">
        <v>3.35</v>
      </c>
      <c r="R169" s="15" t="n">
        <v>0.37</v>
      </c>
      <c r="S169" s="15" t="n">
        <v>24.6</v>
      </c>
    </row>
    <row r="170" ht="19" customHeight="1">
      <c r="A170" s="16" t="inlineStr">
        <is>
          <t>WINE-168</t>
        </is>
      </c>
      <c r="B170" s="17" t="inlineStr">
        <is>
          <t>Veneto (Valpolicella)</t>
        </is>
      </c>
      <c r="C170" s="16" t="n">
        <v>2019</v>
      </c>
      <c r="D170" s="18" t="n">
        <v>12.82</v>
      </c>
      <c r="E170" s="18" t="n">
        <v>3.37</v>
      </c>
      <c r="F170" s="18" t="n">
        <v>2.3</v>
      </c>
      <c r="G170" s="18" t="n">
        <v>19.5</v>
      </c>
      <c r="H170" s="18" t="n">
        <v>88</v>
      </c>
      <c r="I170" s="18" t="n">
        <v>1.48</v>
      </c>
      <c r="J170" s="18" t="n">
        <v>0.66</v>
      </c>
      <c r="K170" s="18" t="n">
        <v>0.4</v>
      </c>
      <c r="L170" s="18" t="n">
        <v>0.97</v>
      </c>
      <c r="M170" s="18" t="n">
        <v>10.26</v>
      </c>
      <c r="N170" s="18" t="n">
        <v>0.72</v>
      </c>
      <c r="O170" s="18" t="n">
        <v>1.75</v>
      </c>
      <c r="P170" s="18" t="n">
        <v>685</v>
      </c>
      <c r="Q170" s="18" t="n">
        <v>3.36</v>
      </c>
      <c r="R170" s="18" t="n">
        <v>4.16</v>
      </c>
      <c r="S170" s="18" t="n">
        <v>28.4</v>
      </c>
    </row>
    <row r="171" ht="19" customHeight="1">
      <c r="A171" s="13" t="inlineStr">
        <is>
          <t>WINE-169</t>
        </is>
      </c>
      <c r="B171" s="14" t="inlineStr">
        <is>
          <t>Veneto (Valpolicella)</t>
        </is>
      </c>
      <c r="C171" s="13" t="n">
        <v>2019</v>
      </c>
      <c r="D171" s="15" t="n">
        <v>13.58</v>
      </c>
      <c r="E171" s="15" t="n">
        <v>2.58</v>
      </c>
      <c r="F171" s="15" t="n">
        <v>2.69</v>
      </c>
      <c r="G171" s="15" t="n">
        <v>24.5</v>
      </c>
      <c r="H171" s="15" t="n">
        <v>105</v>
      </c>
      <c r="I171" s="15" t="n">
        <v>1.55</v>
      </c>
      <c r="J171" s="15" t="n">
        <v>0.84</v>
      </c>
      <c r="K171" s="15" t="n">
        <v>0.39</v>
      </c>
      <c r="L171" s="15" t="n">
        <v>1.54</v>
      </c>
      <c r="M171" s="15" t="n">
        <v>8.66</v>
      </c>
      <c r="N171" s="15" t="n">
        <v>0.74</v>
      </c>
      <c r="O171" s="15" t="n">
        <v>1.8</v>
      </c>
      <c r="P171" s="15" t="n">
        <v>750</v>
      </c>
      <c r="Q171" s="15" t="n">
        <v>3.33</v>
      </c>
      <c r="R171" s="15" t="n">
        <v>2.08</v>
      </c>
      <c r="S171" s="15" t="n">
        <v>26.4</v>
      </c>
    </row>
    <row r="172" ht="19" customHeight="1">
      <c r="A172" s="16" t="inlineStr">
        <is>
          <t>WINE-170</t>
        </is>
      </c>
      <c r="B172" s="17" t="inlineStr">
        <is>
          <t>Veneto (Valpolicella)</t>
        </is>
      </c>
      <c r="C172" s="16" t="n">
        <v>2020</v>
      </c>
      <c r="D172" s="18" t="n">
        <v>13.4</v>
      </c>
      <c r="E172" s="18" t="n">
        <v>4.6</v>
      </c>
      <c r="F172" s="18" t="n">
        <v>2.86</v>
      </c>
      <c r="G172" s="18" t="n">
        <v>25</v>
      </c>
      <c r="H172" s="18" t="n">
        <v>112</v>
      </c>
      <c r="I172" s="18" t="n">
        <v>1.98</v>
      </c>
      <c r="J172" s="18" t="n">
        <v>0.96</v>
      </c>
      <c r="K172" s="18" t="n">
        <v>0.27</v>
      </c>
      <c r="L172" s="18" t="n">
        <v>1.11</v>
      </c>
      <c r="M172" s="18" t="n">
        <v>8.5</v>
      </c>
      <c r="N172" s="18" t="n">
        <v>0.67</v>
      </c>
      <c r="O172" s="18" t="n">
        <v>1.92</v>
      </c>
      <c r="P172" s="18" t="n">
        <v>630</v>
      </c>
      <c r="Q172" s="18" t="n">
        <v>3.19</v>
      </c>
      <c r="R172" s="18" t="n">
        <v>0.72</v>
      </c>
      <c r="S172" s="18" t="n">
        <v>27.7</v>
      </c>
    </row>
    <row r="173" ht="19" customHeight="1">
      <c r="A173" s="13" t="inlineStr">
        <is>
          <t>WINE-171</t>
        </is>
      </c>
      <c r="B173" s="14" t="inlineStr">
        <is>
          <t>Veneto (Valpolicella)</t>
        </is>
      </c>
      <c r="C173" s="13" t="n">
        <v>2021</v>
      </c>
      <c r="D173" s="15" t="n">
        <v>12.2</v>
      </c>
      <c r="E173" s="15" t="n">
        <v>3.03</v>
      </c>
      <c r="F173" s="15" t="n">
        <v>2.32</v>
      </c>
      <c r="G173" s="15" t="n">
        <v>19</v>
      </c>
      <c r="H173" s="15" t="n">
        <v>96</v>
      </c>
      <c r="I173" s="15" t="n">
        <v>1.25</v>
      </c>
      <c r="J173" s="15" t="n">
        <v>0.49</v>
      </c>
      <c r="K173" s="15" t="n">
        <v>0.4</v>
      </c>
      <c r="L173" s="15" t="n">
        <v>0.73</v>
      </c>
      <c r="M173" s="15" t="n">
        <v>5.5</v>
      </c>
      <c r="N173" s="15" t="n">
        <v>0.66</v>
      </c>
      <c r="O173" s="15" t="n">
        <v>1.83</v>
      </c>
      <c r="P173" s="15" t="n">
        <v>510</v>
      </c>
      <c r="Q173" s="15" t="n">
        <v>3.49</v>
      </c>
      <c r="R173" s="15" t="n">
        <v>1.87</v>
      </c>
      <c r="S173" s="15" t="n">
        <v>26.6</v>
      </c>
    </row>
    <row r="174" ht="19" customHeight="1">
      <c r="A174" s="16" t="inlineStr">
        <is>
          <t>WINE-172</t>
        </is>
      </c>
      <c r="B174" s="17" t="inlineStr">
        <is>
          <t>Veneto (Valpolicella)</t>
        </is>
      </c>
      <c r="C174" s="16" t="n">
        <v>2019</v>
      </c>
      <c r="D174" s="18" t="n">
        <v>12.77</v>
      </c>
      <c r="E174" s="18" t="n">
        <v>2.39</v>
      </c>
      <c r="F174" s="18" t="n">
        <v>2.28</v>
      </c>
      <c r="G174" s="18" t="n">
        <v>19.5</v>
      </c>
      <c r="H174" s="18" t="n">
        <v>86</v>
      </c>
      <c r="I174" s="18" t="n">
        <v>1.39</v>
      </c>
      <c r="J174" s="18" t="n">
        <v>0.51</v>
      </c>
      <c r="K174" s="18" t="n">
        <v>0.48</v>
      </c>
      <c r="L174" s="18" t="n">
        <v>0.64</v>
      </c>
      <c r="M174" s="18" t="n">
        <v>9.899998999999999</v>
      </c>
      <c r="N174" s="18" t="n">
        <v>0.57</v>
      </c>
      <c r="O174" s="18" t="n">
        <v>1.63</v>
      </c>
      <c r="P174" s="18" t="n">
        <v>470</v>
      </c>
      <c r="Q174" s="18" t="n">
        <v>3.26</v>
      </c>
      <c r="R174" s="18" t="n">
        <v>2.74</v>
      </c>
      <c r="S174" s="18" t="n">
        <v>26.6</v>
      </c>
    </row>
    <row r="175" ht="19" customHeight="1">
      <c r="A175" s="13" t="inlineStr">
        <is>
          <t>WINE-173</t>
        </is>
      </c>
      <c r="B175" s="14" t="inlineStr">
        <is>
          <t>Veneto (Valpolicella)</t>
        </is>
      </c>
      <c r="C175" s="13" t="n">
        <v>2020</v>
      </c>
      <c r="D175" s="15" t="n">
        <v>14.16</v>
      </c>
      <c r="E175" s="15" t="n">
        <v>2.51</v>
      </c>
      <c r="F175" s="15" t="n">
        <v>2.48</v>
      </c>
      <c r="G175" s="15" t="n">
        <v>20</v>
      </c>
      <c r="H175" s="15" t="n">
        <v>91</v>
      </c>
      <c r="I175" s="15" t="n">
        <v>1.68</v>
      </c>
      <c r="J175" s="15" t="n">
        <v>0.7</v>
      </c>
      <c r="K175" s="15" t="n">
        <v>0.44</v>
      </c>
      <c r="L175" s="15" t="n">
        <v>1.24</v>
      </c>
      <c r="M175" s="15" t="n">
        <v>9.699999999999999</v>
      </c>
      <c r="N175" s="15" t="n">
        <v>0.62</v>
      </c>
      <c r="O175" s="15" t="n">
        <v>1.71</v>
      </c>
      <c r="P175" s="15" t="n">
        <v>660</v>
      </c>
      <c r="Q175" s="15" t="n">
        <v>3.42</v>
      </c>
      <c r="R175" s="15" t="n">
        <v>0.96</v>
      </c>
      <c r="S175" s="15" t="n">
        <v>28.2</v>
      </c>
    </row>
    <row r="176" ht="19" customHeight="1">
      <c r="A176" s="16" t="inlineStr">
        <is>
          <t>WINE-174</t>
        </is>
      </c>
      <c r="B176" s="17" t="inlineStr">
        <is>
          <t>Veneto (Valpolicella)</t>
        </is>
      </c>
      <c r="C176" s="16" t="n">
        <v>2019</v>
      </c>
      <c r="D176" s="18" t="n">
        <v>13.71</v>
      </c>
      <c r="E176" s="18" t="n">
        <v>5.65</v>
      </c>
      <c r="F176" s="18" t="n">
        <v>2.45</v>
      </c>
      <c r="G176" s="18" t="n">
        <v>20.5</v>
      </c>
      <c r="H176" s="18" t="n">
        <v>95</v>
      </c>
      <c r="I176" s="18" t="n">
        <v>1.68</v>
      </c>
      <c r="J176" s="18" t="n">
        <v>0.61</v>
      </c>
      <c r="K176" s="18" t="n">
        <v>0.52</v>
      </c>
      <c r="L176" s="18" t="n">
        <v>1.06</v>
      </c>
      <c r="M176" s="18" t="n">
        <v>7.7</v>
      </c>
      <c r="N176" s="18" t="n">
        <v>0.64</v>
      </c>
      <c r="O176" s="18" t="n">
        <v>1.74</v>
      </c>
      <c r="P176" s="18" t="n">
        <v>740</v>
      </c>
      <c r="Q176" s="18" t="n">
        <v>3.05</v>
      </c>
      <c r="R176" s="18" t="n">
        <v>2.35</v>
      </c>
      <c r="S176" s="18" t="n">
        <v>25.6</v>
      </c>
    </row>
    <row r="177" ht="19" customHeight="1">
      <c r="A177" s="13" t="inlineStr">
        <is>
          <t>WINE-175</t>
        </is>
      </c>
      <c r="B177" s="14" t="inlineStr">
        <is>
          <t>Veneto (Valpolicella)</t>
        </is>
      </c>
      <c r="C177" s="13" t="n">
        <v>2021</v>
      </c>
      <c r="D177" s="15" t="n">
        <v>13.4</v>
      </c>
      <c r="E177" s="15" t="n">
        <v>3.91</v>
      </c>
      <c r="F177" s="15" t="n">
        <v>2.48</v>
      </c>
      <c r="G177" s="15" t="n">
        <v>23</v>
      </c>
      <c r="H177" s="15" t="n">
        <v>102</v>
      </c>
      <c r="I177" s="15" t="n">
        <v>1.8</v>
      </c>
      <c r="J177" s="15" t="n">
        <v>0.75</v>
      </c>
      <c r="K177" s="15" t="n">
        <v>0.43</v>
      </c>
      <c r="L177" s="15" t="n">
        <v>1.41</v>
      </c>
      <c r="M177" s="15" t="n">
        <v>7.3</v>
      </c>
      <c r="N177" s="15" t="n">
        <v>0.7</v>
      </c>
      <c r="O177" s="15" t="n">
        <v>1.56</v>
      </c>
      <c r="P177" s="15" t="n">
        <v>750</v>
      </c>
      <c r="Q177" s="15" t="n">
        <v>3.19</v>
      </c>
      <c r="R177" s="15" t="n">
        <v>4.37</v>
      </c>
      <c r="S177" s="15" t="n">
        <v>26.7</v>
      </c>
    </row>
    <row r="178" ht="19" customHeight="1">
      <c r="A178" s="16" t="inlineStr">
        <is>
          <t>WINE-176</t>
        </is>
      </c>
      <c r="B178" s="17" t="inlineStr">
        <is>
          <t>Veneto (Valpolicella)</t>
        </is>
      </c>
      <c r="C178" s="16" t="n">
        <v>2019</v>
      </c>
      <c r="D178" s="18" t="n">
        <v>13.27</v>
      </c>
      <c r="E178" s="18" t="n">
        <v>4.28</v>
      </c>
      <c r="F178" s="18" t="n">
        <v>2.26</v>
      </c>
      <c r="G178" s="18" t="n">
        <v>20</v>
      </c>
      <c r="H178" s="18" t="n">
        <v>120</v>
      </c>
      <c r="I178" s="18" t="n">
        <v>1.59</v>
      </c>
      <c r="J178" s="18" t="n">
        <v>0.6899999999999999</v>
      </c>
      <c r="K178" s="18" t="n">
        <v>0.43</v>
      </c>
      <c r="L178" s="18" t="n">
        <v>1.35</v>
      </c>
      <c r="M178" s="18" t="n">
        <v>10.2</v>
      </c>
      <c r="N178" s="18" t="n">
        <v>0.59</v>
      </c>
      <c r="O178" s="18" t="n">
        <v>1.56</v>
      </c>
      <c r="P178" s="18" t="n">
        <v>835</v>
      </c>
      <c r="Q178" s="18" t="n">
        <v>3.36</v>
      </c>
      <c r="R178" s="18" t="n">
        <v>1.2</v>
      </c>
      <c r="S178" s="18" t="n">
        <v>25.7</v>
      </c>
    </row>
    <row r="179" ht="19" customHeight="1">
      <c r="A179" s="13" t="inlineStr">
        <is>
          <t>WINE-177</t>
        </is>
      </c>
      <c r="B179" s="14" t="inlineStr">
        <is>
          <t>Veneto (Valpolicella)</t>
        </is>
      </c>
      <c r="C179" s="13" t="n">
        <v>2021</v>
      </c>
      <c r="D179" s="15" t="n">
        <v>13.17</v>
      </c>
      <c r="E179" s="15" t="n">
        <v>2.59</v>
      </c>
      <c r="F179" s="15" t="n">
        <v>2.37</v>
      </c>
      <c r="G179" s="15" t="n">
        <v>20</v>
      </c>
      <c r="H179" s="15" t="n">
        <v>120</v>
      </c>
      <c r="I179" s="15" t="n">
        <v>1.65</v>
      </c>
      <c r="J179" s="15" t="n">
        <v>0.68</v>
      </c>
      <c r="K179" s="15" t="n">
        <v>0.53</v>
      </c>
      <c r="L179" s="15" t="n">
        <v>1.46</v>
      </c>
      <c r="M179" s="15" t="n">
        <v>9.300000000000001</v>
      </c>
      <c r="N179" s="15" t="n">
        <v>0.6</v>
      </c>
      <c r="O179" s="15" t="n">
        <v>1.62</v>
      </c>
      <c r="P179" s="15" t="n">
        <v>840</v>
      </c>
      <c r="Q179" s="15" t="n">
        <v>3.45</v>
      </c>
      <c r="R179" s="15" t="n">
        <v>0.8100000000000001</v>
      </c>
      <c r="S179" s="15" t="n">
        <v>25.7</v>
      </c>
    </row>
    <row r="180" ht="19" customHeight="1">
      <c r="A180" s="16" t="inlineStr">
        <is>
          <t>WINE-178</t>
        </is>
      </c>
      <c r="B180" s="17" t="inlineStr">
        <is>
          <t>Veneto (Valpolicella)</t>
        </is>
      </c>
      <c r="C180" s="16" t="n">
        <v>2020</v>
      </c>
      <c r="D180" s="18" t="n">
        <v>14.13</v>
      </c>
      <c r="E180" s="18" t="n">
        <v>4.1</v>
      </c>
      <c r="F180" s="18" t="n">
        <v>2.74</v>
      </c>
      <c r="G180" s="18" t="n">
        <v>24.5</v>
      </c>
      <c r="H180" s="18" t="n">
        <v>96</v>
      </c>
      <c r="I180" s="18" t="n">
        <v>2.05</v>
      </c>
      <c r="J180" s="18" t="n">
        <v>0.76</v>
      </c>
      <c r="K180" s="18" t="n">
        <v>0.5600000000000001</v>
      </c>
      <c r="L180" s="18" t="n">
        <v>1.35</v>
      </c>
      <c r="M180" s="18" t="n">
        <v>9.199999999999999</v>
      </c>
      <c r="N180" s="18" t="n">
        <v>0.61</v>
      </c>
      <c r="O180" s="18" t="n">
        <v>1.6</v>
      </c>
      <c r="P180" s="18" t="n">
        <v>560</v>
      </c>
      <c r="Q180" s="18" t="n">
        <v>3.33</v>
      </c>
      <c r="R180" s="18" t="n">
        <v>1.59</v>
      </c>
      <c r="S180" s="18" t="n">
        <v>25.9</v>
      </c>
    </row>
  </sheetData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1" customWidth="1" min="4" max="4"/>
    <col width="20" customWidth="1" min="5" max="5"/>
    <col width="12" customWidth="1" min="6" max="6"/>
    <col width="16" customWidth="1" min="7" max="7"/>
    <col width="13" customWidth="1" min="8" max="8"/>
    <col width="23" customWidth="1" min="9" max="9"/>
    <col width="18" customWidth="1" min="10" max="10"/>
    <col width="18" customWidth="1" min="11" max="11"/>
    <col width="11" customWidth="1" min="12" max="12"/>
    <col width="28" customWidth="1" min="13" max="13"/>
    <col width="11" customWidth="1" min="14" max="14"/>
    <col width="11" customWidth="1" min="15" max="15"/>
    <col width="20" customWidth="1" min="16" max="16"/>
    <col width="22" customWidth="1" min="17" max="17"/>
  </cols>
  <sheetData>
    <row r="1" ht="35" customHeight="1">
      <c r="A1" s="12" t="inlineStr">
        <is>
          <t>Z-Score Standardized Feature Matrix [ Mean = 0, Variance = 1 ] (Slides 6-7 Pipeline)</t>
        </is>
      </c>
    </row>
    <row r="2" ht="28" customHeight="1">
      <c r="A2" s="6" t="inlineStr">
        <is>
          <t>Sample ID</t>
        </is>
      </c>
      <c r="B2" s="6" t="inlineStr">
        <is>
          <t>Alcohol</t>
        </is>
      </c>
      <c r="C2" s="6" t="inlineStr">
        <is>
          <t>Malic Acid</t>
        </is>
      </c>
      <c r="D2" s="6" t="inlineStr">
        <is>
          <t>Ash</t>
        </is>
      </c>
      <c r="E2" s="6" t="inlineStr">
        <is>
          <t>Alcalinity of Ash</t>
        </is>
      </c>
      <c r="F2" s="6" t="inlineStr">
        <is>
          <t>Magnesium</t>
        </is>
      </c>
      <c r="G2" s="6" t="inlineStr">
        <is>
          <t>Total Phenols</t>
        </is>
      </c>
      <c r="H2" s="6" t="inlineStr">
        <is>
          <t>Flavonoids</t>
        </is>
      </c>
      <c r="I2" s="6" t="inlineStr">
        <is>
          <t>Nonflavanoid Phenols</t>
        </is>
      </c>
      <c r="J2" s="6" t="inlineStr">
        <is>
          <t>Proanthocyanins</t>
        </is>
      </c>
      <c r="K2" s="6" t="inlineStr">
        <is>
          <t>Color Intensity</t>
        </is>
      </c>
      <c r="L2" s="6" t="inlineStr">
        <is>
          <t>Hue</t>
        </is>
      </c>
      <c r="M2" s="6" t="inlineStr">
        <is>
          <t>OD280/OD315 Diluted Wines</t>
        </is>
      </c>
      <c r="N2" s="6" t="inlineStr">
        <is>
          <t>Proline</t>
        </is>
      </c>
      <c r="O2" s="6" t="inlineStr">
        <is>
          <t>pH</t>
        </is>
      </c>
      <c r="P2" s="6" t="inlineStr">
        <is>
          <t>Residual Sugar gL</t>
        </is>
      </c>
      <c r="Q2" s="6" t="inlineStr">
        <is>
          <t>Fermentation Temp C</t>
        </is>
      </c>
    </row>
    <row r="3" ht="19" customHeight="1">
      <c r="A3" s="13" t="inlineStr">
        <is>
          <t>WINE-001</t>
        </is>
      </c>
      <c r="B3" s="19" t="n">
        <v>1.5186</v>
      </c>
      <c r="C3" s="19" t="n">
        <v>-0.5622</v>
      </c>
      <c r="D3" s="19" t="n">
        <v>0.2321</v>
      </c>
      <c r="E3" s="19" t="n">
        <v>-1.1696</v>
      </c>
      <c r="F3" s="19" t="n">
        <v>1.9139</v>
      </c>
      <c r="G3" s="19" t="n">
        <v>0.8090000000000001</v>
      </c>
      <c r="H3" s="19" t="n">
        <v>1.0348</v>
      </c>
      <c r="I3" s="19" t="n">
        <v>-0.6596</v>
      </c>
      <c r="J3" s="19" t="n">
        <v>1.2249</v>
      </c>
      <c r="K3" s="19" t="n">
        <v>0.2517</v>
      </c>
      <c r="L3" s="19" t="n">
        <v>0.3622</v>
      </c>
      <c r="M3" s="19" t="n">
        <v>1.8479</v>
      </c>
      <c r="N3" s="19" t="n">
        <v>1.013</v>
      </c>
      <c r="O3" s="19" t="n">
        <v>-0.4667</v>
      </c>
      <c r="P3" s="19" t="n">
        <v>1.3733</v>
      </c>
      <c r="Q3" s="19" t="n">
        <v>0.0977</v>
      </c>
    </row>
    <row r="4" ht="19" customHeight="1">
      <c r="A4" s="16" t="inlineStr">
        <is>
          <t>WINE-002</t>
        </is>
      </c>
      <c r="B4" s="20" t="n">
        <v>0.2463</v>
      </c>
      <c r="C4" s="20" t="n">
        <v>-0.4994</v>
      </c>
      <c r="D4" s="20" t="n">
        <v>-0.828</v>
      </c>
      <c r="E4" s="20" t="n">
        <v>-2.4908</v>
      </c>
      <c r="F4" s="20" t="n">
        <v>0.0181</v>
      </c>
      <c r="G4" s="20" t="n">
        <v>0.5686</v>
      </c>
      <c r="H4" s="20" t="n">
        <v>0.7336</v>
      </c>
      <c r="I4" s="20" t="n">
        <v>-0.8207</v>
      </c>
      <c r="J4" s="20" t="n">
        <v>-0.5447</v>
      </c>
      <c r="K4" s="20" t="n">
        <v>-0.2933</v>
      </c>
      <c r="L4" s="20" t="n">
        <v>0.4061</v>
      </c>
      <c r="M4" s="20" t="n">
        <v>1.1134</v>
      </c>
      <c r="N4" s="20" t="n">
        <v>0.9651999999999999</v>
      </c>
      <c r="O4" s="20" t="n">
        <v>-0.0595</v>
      </c>
      <c r="P4" s="20" t="n">
        <v>-0.1888</v>
      </c>
      <c r="Q4" s="20" t="n">
        <v>1.1635</v>
      </c>
    </row>
    <row r="5" ht="19" customHeight="1">
      <c r="A5" s="13" t="inlineStr">
        <is>
          <t>WINE-003</t>
        </is>
      </c>
      <c r="B5" s="19" t="n">
        <v>0.1969</v>
      </c>
      <c r="C5" s="19" t="n">
        <v>0.0212</v>
      </c>
      <c r="D5" s="19" t="n">
        <v>1.1093</v>
      </c>
      <c r="E5" s="19" t="n">
        <v>-0.2687</v>
      </c>
      <c r="F5" s="19" t="n">
        <v>0.08840000000000001</v>
      </c>
      <c r="G5" s="19" t="n">
        <v>0.8090000000000001</v>
      </c>
      <c r="H5" s="19" t="n">
        <v>1.2155</v>
      </c>
      <c r="I5" s="19" t="n">
        <v>-0.4984</v>
      </c>
      <c r="J5" s="19" t="n">
        <v>2.136</v>
      </c>
      <c r="K5" s="19" t="n">
        <v>0.269</v>
      </c>
      <c r="L5" s="19" t="n">
        <v>0.3183</v>
      </c>
      <c r="M5" s="19" t="n">
        <v>0.7886</v>
      </c>
      <c r="N5" s="19" t="n">
        <v>1.3951</v>
      </c>
      <c r="O5" s="19" t="n">
        <v>0.6385999999999999</v>
      </c>
      <c r="P5" s="19" t="n">
        <v>0.1065</v>
      </c>
      <c r="Q5" s="19" t="n">
        <v>-1.6413</v>
      </c>
    </row>
    <row r="6" ht="19" customHeight="1">
      <c r="A6" s="16" t="inlineStr">
        <is>
          <t>WINE-004</t>
        </is>
      </c>
      <c r="B6" s="20" t="n">
        <v>1.6915</v>
      </c>
      <c r="C6" s="20" t="n">
        <v>-0.3468</v>
      </c>
      <c r="D6" s="20" t="n">
        <v>0.4879</v>
      </c>
      <c r="E6" s="20" t="n">
        <v>-0.8093</v>
      </c>
      <c r="F6" s="20" t="n">
        <v>0.9308999999999999</v>
      </c>
      <c r="G6" s="20" t="n">
        <v>2.4914</v>
      </c>
      <c r="H6" s="20" t="n">
        <v>1.4665</v>
      </c>
      <c r="I6" s="20" t="n">
        <v>-0.9819</v>
      </c>
      <c r="J6" s="20" t="n">
        <v>1.0322</v>
      </c>
      <c r="K6" s="20" t="n">
        <v>1.1861</v>
      </c>
      <c r="L6" s="20" t="n">
        <v>-0.4275</v>
      </c>
      <c r="M6" s="20" t="n">
        <v>1.1841</v>
      </c>
      <c r="N6" s="20" t="n">
        <v>2.3346</v>
      </c>
      <c r="O6" s="20" t="n">
        <v>-0.9321</v>
      </c>
      <c r="P6" s="20" t="n">
        <v>-0.3287</v>
      </c>
      <c r="Q6" s="20" t="n">
        <v>1.6123</v>
      </c>
    </row>
    <row r="7" ht="19" customHeight="1">
      <c r="A7" s="13" t="inlineStr">
        <is>
          <t>WINE-005</t>
        </is>
      </c>
      <c r="B7" s="19" t="n">
        <v>0.2957</v>
      </c>
      <c r="C7" s="19" t="n">
        <v>0.2277</v>
      </c>
      <c r="D7" s="19" t="n">
        <v>1.8404</v>
      </c>
      <c r="E7" s="19" t="n">
        <v>0.4519</v>
      </c>
      <c r="F7" s="19" t="n">
        <v>1.282</v>
      </c>
      <c r="G7" s="19" t="n">
        <v>0.8090000000000001</v>
      </c>
      <c r="H7" s="19" t="n">
        <v>0.6634</v>
      </c>
      <c r="I7" s="19" t="n">
        <v>0.2268</v>
      </c>
      <c r="J7" s="19" t="n">
        <v>0.4014</v>
      </c>
      <c r="K7" s="19" t="n">
        <v>-0.3193</v>
      </c>
      <c r="L7" s="19" t="n">
        <v>0.3622</v>
      </c>
      <c r="M7" s="19" t="n">
        <v>0.4496</v>
      </c>
      <c r="N7" s="19" t="n">
        <v>-0.0379</v>
      </c>
      <c r="O7" s="19" t="n">
        <v>-0.0013</v>
      </c>
      <c r="P7" s="19" t="n">
        <v>-0.8260999999999999</v>
      </c>
      <c r="Q7" s="19" t="n">
        <v>-0.1267</v>
      </c>
    </row>
    <row r="8" ht="19" customHeight="1">
      <c r="A8" s="16" t="inlineStr">
        <is>
          <t>WINE-006</t>
        </is>
      </c>
      <c r="B8" s="20" t="n">
        <v>1.4816</v>
      </c>
      <c r="C8" s="20" t="n">
        <v>-0.5174</v>
      </c>
      <c r="D8" s="20" t="n">
        <v>0.3052</v>
      </c>
      <c r="E8" s="20" t="n">
        <v>-1.2897</v>
      </c>
      <c r="F8" s="20" t="n">
        <v>0.8607</v>
      </c>
      <c r="G8" s="20" t="n">
        <v>1.5621</v>
      </c>
      <c r="H8" s="20" t="n">
        <v>1.3661</v>
      </c>
      <c r="I8" s="20" t="n">
        <v>-0.1761</v>
      </c>
      <c r="J8" s="20" t="n">
        <v>0.6642</v>
      </c>
      <c r="K8" s="20" t="n">
        <v>0.7319</v>
      </c>
      <c r="L8" s="20" t="n">
        <v>0.4061</v>
      </c>
      <c r="M8" s="20" t="n">
        <v>0.3366</v>
      </c>
      <c r="N8" s="20" t="n">
        <v>2.239</v>
      </c>
      <c r="O8" s="20" t="n">
        <v>1.3367</v>
      </c>
      <c r="P8" s="20" t="n">
        <v>2.7566</v>
      </c>
      <c r="Q8" s="20" t="n">
        <v>-0.4072</v>
      </c>
    </row>
    <row r="9" ht="19" customHeight="1">
      <c r="A9" s="13" t="inlineStr">
        <is>
          <t>WINE-007</t>
        </is>
      </c>
      <c r="B9" s="19" t="n">
        <v>1.7163</v>
      </c>
      <c r="C9" s="19" t="n">
        <v>-0.4186</v>
      </c>
      <c r="D9" s="19" t="n">
        <v>0.3052</v>
      </c>
      <c r="E9" s="19" t="n">
        <v>-1.4699</v>
      </c>
      <c r="F9" s="19" t="n">
        <v>-0.2627</v>
      </c>
      <c r="G9" s="19" t="n">
        <v>0.3283</v>
      </c>
      <c r="H9" s="19" t="n">
        <v>0.4927</v>
      </c>
      <c r="I9" s="19" t="n">
        <v>-0.4984</v>
      </c>
      <c r="J9" s="19" t="n">
        <v>0.6817</v>
      </c>
      <c r="K9" s="19" t="n">
        <v>0.083</v>
      </c>
      <c r="L9" s="19" t="n">
        <v>0.2744</v>
      </c>
      <c r="M9" s="19" t="n">
        <v>1.3677</v>
      </c>
      <c r="N9" s="19" t="n">
        <v>1.7295</v>
      </c>
      <c r="O9" s="19" t="n">
        <v>-1.223</v>
      </c>
      <c r="P9" s="19" t="n">
        <v>1.1557</v>
      </c>
      <c r="Q9" s="19" t="n">
        <v>-0.9681</v>
      </c>
    </row>
    <row r="10" ht="19" customHeight="1">
      <c r="A10" s="16" t="inlineStr">
        <is>
          <t>WINE-008</t>
        </is>
      </c>
      <c r="B10" s="20" t="n">
        <v>1.3086</v>
      </c>
      <c r="C10" s="20" t="n">
        <v>-0.1673</v>
      </c>
      <c r="D10" s="20" t="n">
        <v>0.89</v>
      </c>
      <c r="E10" s="20" t="n">
        <v>-0.569</v>
      </c>
      <c r="F10" s="20" t="n">
        <v>1.4926</v>
      </c>
      <c r="G10" s="20" t="n">
        <v>0.4885</v>
      </c>
      <c r="H10" s="20" t="n">
        <v>0.4826</v>
      </c>
      <c r="I10" s="20" t="n">
        <v>-0.4178</v>
      </c>
      <c r="J10" s="20" t="n">
        <v>-0.5973000000000001</v>
      </c>
      <c r="K10" s="20" t="n">
        <v>-0.0035</v>
      </c>
      <c r="L10" s="20" t="n">
        <v>0.4499</v>
      </c>
      <c r="M10" s="20" t="n">
        <v>1.3677</v>
      </c>
      <c r="N10" s="20" t="n">
        <v>1.7454</v>
      </c>
      <c r="O10" s="20" t="n">
        <v>0.1732</v>
      </c>
      <c r="P10" s="20" t="n">
        <v>0.6505</v>
      </c>
      <c r="Q10" s="20" t="n">
        <v>-1.6413</v>
      </c>
    </row>
    <row r="11" ht="19" customHeight="1">
      <c r="A11" s="13" t="inlineStr">
        <is>
          <t>WINE-009</t>
        </is>
      </c>
      <c r="B11" s="19" t="n">
        <v>2.2598</v>
      </c>
      <c r="C11" s="19" t="n">
        <v>-0.6251</v>
      </c>
      <c r="D11" s="19" t="n">
        <v>-0.7183</v>
      </c>
      <c r="E11" s="19" t="n">
        <v>-1.65</v>
      </c>
      <c r="F11" s="19" t="n">
        <v>-0.1925</v>
      </c>
      <c r="G11" s="19" t="n">
        <v>0.8090000000000001</v>
      </c>
      <c r="H11" s="19" t="n">
        <v>0.9545</v>
      </c>
      <c r="I11" s="19" t="n">
        <v>-0.579</v>
      </c>
      <c r="J11" s="19" t="n">
        <v>0.6817</v>
      </c>
      <c r="K11" s="19" t="n">
        <v>0.0614</v>
      </c>
      <c r="L11" s="19" t="n">
        <v>0.5377</v>
      </c>
      <c r="M11" s="19" t="n">
        <v>0.3366</v>
      </c>
      <c r="N11" s="19" t="n">
        <v>0.9493</v>
      </c>
      <c r="O11" s="19" t="n">
        <v>0.4641</v>
      </c>
      <c r="P11" s="19" t="n">
        <v>-0.2199</v>
      </c>
      <c r="Q11" s="19" t="n">
        <v>0.8831</v>
      </c>
    </row>
    <row r="12" ht="19" customHeight="1">
      <c r="A12" s="16" t="inlineStr">
        <is>
          <t>WINE-010</t>
        </is>
      </c>
      <c r="B12" s="20" t="n">
        <v>1.0616</v>
      </c>
      <c r="C12" s="20" t="n">
        <v>-0.8854</v>
      </c>
      <c r="D12" s="20" t="n">
        <v>-0.3528</v>
      </c>
      <c r="E12" s="20" t="n">
        <v>-1.0495</v>
      </c>
      <c r="F12" s="20" t="n">
        <v>-0.1223</v>
      </c>
      <c r="G12" s="20" t="n">
        <v>1.0974</v>
      </c>
      <c r="H12" s="20" t="n">
        <v>1.1252</v>
      </c>
      <c r="I12" s="20" t="n">
        <v>-1.143</v>
      </c>
      <c r="J12" s="20" t="n">
        <v>0.454</v>
      </c>
      <c r="K12" s="20" t="n">
        <v>0.9352</v>
      </c>
      <c r="L12" s="20" t="n">
        <v>0.2306</v>
      </c>
      <c r="M12" s="20" t="n">
        <v>1.3253</v>
      </c>
      <c r="N12" s="20" t="n">
        <v>0.9493</v>
      </c>
      <c r="O12" s="20" t="n">
        <v>1.104</v>
      </c>
      <c r="P12" s="20" t="n">
        <v>-0.8727</v>
      </c>
      <c r="Q12" s="20" t="n">
        <v>0.0977</v>
      </c>
    </row>
    <row r="13" ht="19" customHeight="1">
      <c r="A13" s="13" t="inlineStr">
        <is>
          <t>WINE-011</t>
        </is>
      </c>
      <c r="B13" s="19" t="n">
        <v>1.358</v>
      </c>
      <c r="C13" s="19" t="n">
        <v>-0.1583</v>
      </c>
      <c r="D13" s="19" t="n">
        <v>-0.2431</v>
      </c>
      <c r="E13" s="19" t="n">
        <v>-0.4489</v>
      </c>
      <c r="F13" s="19" t="n">
        <v>0.3692</v>
      </c>
      <c r="G13" s="19" t="n">
        <v>1.0493</v>
      </c>
      <c r="H13" s="19" t="n">
        <v>1.2959</v>
      </c>
      <c r="I13" s="19" t="n">
        <v>-1.143</v>
      </c>
      <c r="J13" s="19" t="n">
        <v>1.3826</v>
      </c>
      <c r="K13" s="19" t="n">
        <v>0.2993</v>
      </c>
      <c r="L13" s="19" t="n">
        <v>1.2835</v>
      </c>
      <c r="M13" s="19" t="n">
        <v>0.7886</v>
      </c>
      <c r="N13" s="19" t="n">
        <v>2.4301</v>
      </c>
      <c r="O13" s="19" t="n">
        <v>-1.0485</v>
      </c>
      <c r="P13" s="19" t="n">
        <v>0.8914</v>
      </c>
      <c r="Q13" s="19" t="n">
        <v>-1.2486</v>
      </c>
    </row>
    <row r="14" ht="19" customHeight="1">
      <c r="A14" s="16" t="inlineStr">
        <is>
          <t>WINE-012</t>
        </is>
      </c>
      <c r="B14" s="20" t="n">
        <v>1.3827</v>
      </c>
      <c r="C14" s="20" t="n">
        <v>-0.7687</v>
      </c>
      <c r="D14" s="20" t="n">
        <v>-0.17</v>
      </c>
      <c r="E14" s="20" t="n">
        <v>-0.8093</v>
      </c>
      <c r="F14" s="20" t="n">
        <v>-0.3329</v>
      </c>
      <c r="G14" s="20" t="n">
        <v>-0.1524</v>
      </c>
      <c r="H14" s="20" t="n">
        <v>0.4023</v>
      </c>
      <c r="I14" s="20" t="n">
        <v>-0.8207</v>
      </c>
      <c r="J14" s="20" t="n">
        <v>-0.0366</v>
      </c>
      <c r="K14" s="20" t="n">
        <v>-0.0251</v>
      </c>
      <c r="L14" s="20" t="n">
        <v>0.9325</v>
      </c>
      <c r="M14" s="20" t="n">
        <v>0.2942</v>
      </c>
      <c r="N14" s="20" t="n">
        <v>1.6977</v>
      </c>
      <c r="O14" s="20" t="n">
        <v>-0.8158</v>
      </c>
      <c r="P14" s="20" t="n">
        <v>-0.3365</v>
      </c>
      <c r="Q14" s="20" t="n">
        <v>-1.2486</v>
      </c>
    </row>
    <row r="15" ht="19" customHeight="1">
      <c r="A15" s="13" t="inlineStr">
        <is>
          <t>WINE-013</t>
        </is>
      </c>
      <c r="B15" s="19" t="n">
        <v>0.9257</v>
      </c>
      <c r="C15" s="19" t="n">
        <v>-0.5443</v>
      </c>
      <c r="D15" s="19" t="n">
        <v>0.1589</v>
      </c>
      <c r="E15" s="19" t="n">
        <v>-1.0495</v>
      </c>
      <c r="F15" s="19" t="n">
        <v>-0.7542</v>
      </c>
      <c r="G15" s="19" t="n">
        <v>0.4885</v>
      </c>
      <c r="H15" s="19" t="n">
        <v>0.7336</v>
      </c>
      <c r="I15" s="19" t="n">
        <v>-0.579</v>
      </c>
      <c r="J15" s="19" t="n">
        <v>0.3839</v>
      </c>
      <c r="K15" s="19" t="n">
        <v>0.2344</v>
      </c>
      <c r="L15" s="19" t="n">
        <v>0.8448</v>
      </c>
      <c r="M15" s="19" t="n">
        <v>0.4072</v>
      </c>
      <c r="N15" s="19" t="n">
        <v>1.8251</v>
      </c>
      <c r="O15" s="19" t="n">
        <v>0.6968</v>
      </c>
      <c r="P15" s="19" t="n">
        <v>0.2075</v>
      </c>
      <c r="Q15" s="19" t="n">
        <v>-0.295</v>
      </c>
    </row>
    <row r="16" ht="19" customHeight="1">
      <c r="A16" s="16" t="inlineStr">
        <is>
          <t>WINE-014</t>
        </is>
      </c>
      <c r="B16" s="20" t="n">
        <v>2.161</v>
      </c>
      <c r="C16" s="20" t="n">
        <v>-0.5443</v>
      </c>
      <c r="D16" s="20" t="n">
        <v>0.0858</v>
      </c>
      <c r="E16" s="20" t="n">
        <v>-2.4308</v>
      </c>
      <c r="F16" s="20" t="n">
        <v>-0.6138</v>
      </c>
      <c r="G16" s="20" t="n">
        <v>1.2897</v>
      </c>
      <c r="H16" s="20" t="n">
        <v>1.6673</v>
      </c>
      <c r="I16" s="20" t="n">
        <v>0.5491</v>
      </c>
      <c r="J16" s="20" t="n">
        <v>2.136</v>
      </c>
      <c r="K16" s="20" t="n">
        <v>0.1479</v>
      </c>
      <c r="L16" s="20" t="n">
        <v>1.2835</v>
      </c>
      <c r="M16" s="20" t="n">
        <v>0.1671</v>
      </c>
      <c r="N16" s="20" t="n">
        <v>1.2837</v>
      </c>
      <c r="O16" s="20" t="n">
        <v>0.4641</v>
      </c>
      <c r="P16" s="20" t="n">
        <v>-0.6629</v>
      </c>
      <c r="Q16" s="20" t="n">
        <v>1.7245</v>
      </c>
    </row>
    <row r="17" ht="19" customHeight="1">
      <c r="A17" s="13" t="inlineStr">
        <is>
          <t>WINE-015</t>
        </is>
      </c>
      <c r="B17" s="19" t="n">
        <v>1.7039</v>
      </c>
      <c r="C17" s="19" t="n">
        <v>-0.4186</v>
      </c>
      <c r="D17" s="19" t="n">
        <v>0.0493</v>
      </c>
      <c r="E17" s="19" t="n">
        <v>-2.2506</v>
      </c>
      <c r="F17" s="19" t="n">
        <v>0.1586</v>
      </c>
      <c r="G17" s="19" t="n">
        <v>1.6102</v>
      </c>
      <c r="H17" s="19" t="n">
        <v>1.6171</v>
      </c>
      <c r="I17" s="19" t="n">
        <v>-0.579</v>
      </c>
      <c r="J17" s="19" t="n">
        <v>2.3988</v>
      </c>
      <c r="K17" s="19" t="n">
        <v>1.0563</v>
      </c>
      <c r="L17" s="19" t="n">
        <v>1.0642</v>
      </c>
      <c r="M17" s="19" t="n">
        <v>0.5485</v>
      </c>
      <c r="N17" s="19" t="n">
        <v>2.5479</v>
      </c>
      <c r="O17" s="19" t="n">
        <v>0.3477</v>
      </c>
      <c r="P17" s="19" t="n">
        <v>0.0288</v>
      </c>
      <c r="Q17" s="19" t="n">
        <v>-0.2389</v>
      </c>
    </row>
    <row r="18" ht="19" customHeight="1">
      <c r="A18" s="16" t="inlineStr">
        <is>
          <t>WINE-016</t>
        </is>
      </c>
      <c r="B18" s="20" t="n">
        <v>0.7775</v>
      </c>
      <c r="C18" s="20" t="n">
        <v>-0.4725</v>
      </c>
      <c r="D18" s="20" t="n">
        <v>1.219</v>
      </c>
      <c r="E18" s="20" t="n">
        <v>-0.6891</v>
      </c>
      <c r="F18" s="20" t="n">
        <v>0.8607</v>
      </c>
      <c r="G18" s="20" t="n">
        <v>0.8891</v>
      </c>
      <c r="H18" s="20" t="n">
        <v>0.8842</v>
      </c>
      <c r="I18" s="20" t="n">
        <v>-0.4984</v>
      </c>
      <c r="J18" s="20" t="n">
        <v>-0.2293</v>
      </c>
      <c r="K18" s="20" t="n">
        <v>0.9698</v>
      </c>
      <c r="L18" s="20" t="n">
        <v>1.4151</v>
      </c>
      <c r="M18" s="20" t="n">
        <v>0.379</v>
      </c>
      <c r="N18" s="20" t="n">
        <v>1.7932</v>
      </c>
      <c r="O18" s="20" t="n">
        <v>0.4641</v>
      </c>
      <c r="P18" s="20" t="n">
        <v>-0.624</v>
      </c>
      <c r="Q18" s="20" t="n">
        <v>-1.473</v>
      </c>
    </row>
    <row r="19" ht="19" customHeight="1">
      <c r="A19" s="13" t="inlineStr">
        <is>
          <t>WINE-017</t>
        </is>
      </c>
      <c r="B19" s="19" t="n">
        <v>1.6051</v>
      </c>
      <c r="C19" s="19" t="n">
        <v>-0.3737</v>
      </c>
      <c r="D19" s="19" t="n">
        <v>1.2921</v>
      </c>
      <c r="E19" s="19" t="n">
        <v>0.1517</v>
      </c>
      <c r="F19" s="19" t="n">
        <v>1.4224</v>
      </c>
      <c r="G19" s="19" t="n">
        <v>0.8090000000000001</v>
      </c>
      <c r="H19" s="19" t="n">
        <v>1.1151</v>
      </c>
      <c r="I19" s="19" t="n">
        <v>-0.2567</v>
      </c>
      <c r="J19" s="19" t="n">
        <v>0.6642</v>
      </c>
      <c r="K19" s="19" t="n">
        <v>0.494</v>
      </c>
      <c r="L19" s="19" t="n">
        <v>0.4938</v>
      </c>
      <c r="M19" s="19" t="n">
        <v>0.0541</v>
      </c>
      <c r="N19" s="19" t="n">
        <v>1.6977</v>
      </c>
      <c r="O19" s="19" t="n">
        <v>-0.4667</v>
      </c>
      <c r="P19" s="19" t="n">
        <v>-0.593</v>
      </c>
      <c r="Q19" s="19" t="n">
        <v>-0.1828</v>
      </c>
    </row>
    <row r="20" ht="19" customHeight="1">
      <c r="A20" s="16" t="inlineStr">
        <is>
          <t>WINE-018</t>
        </is>
      </c>
      <c r="B20" s="20" t="n">
        <v>1.0245</v>
      </c>
      <c r="C20" s="20" t="n">
        <v>-0.6879</v>
      </c>
      <c r="D20" s="20" t="n">
        <v>0.9266</v>
      </c>
      <c r="E20" s="20" t="n">
        <v>0.1517</v>
      </c>
      <c r="F20" s="20" t="n">
        <v>1.0713</v>
      </c>
      <c r="G20" s="20" t="n">
        <v>1.0493</v>
      </c>
      <c r="H20" s="20" t="n">
        <v>1.3762</v>
      </c>
      <c r="I20" s="20" t="n">
        <v>0.3074</v>
      </c>
      <c r="J20" s="20" t="n">
        <v>0.2262</v>
      </c>
      <c r="K20" s="20" t="n">
        <v>0.667</v>
      </c>
      <c r="L20" s="20" t="n">
        <v>0.757</v>
      </c>
      <c r="M20" s="20" t="n">
        <v>-0.0589</v>
      </c>
      <c r="N20" s="20" t="n">
        <v>1.22</v>
      </c>
      <c r="O20" s="20" t="n">
        <v>0.5223</v>
      </c>
      <c r="P20" s="20" t="n">
        <v>0.0132</v>
      </c>
      <c r="Q20" s="20" t="n">
        <v>-0.2389</v>
      </c>
    </row>
    <row r="21" ht="19" customHeight="1">
      <c r="A21" s="13" t="inlineStr">
        <is>
          <t>WINE-019</t>
        </is>
      </c>
      <c r="B21" s="19" t="n">
        <v>1.4692</v>
      </c>
      <c r="C21" s="19" t="n">
        <v>-0.67</v>
      </c>
      <c r="D21" s="19" t="n">
        <v>0.4148</v>
      </c>
      <c r="E21" s="19" t="n">
        <v>-0.8993</v>
      </c>
      <c r="F21" s="19" t="n">
        <v>0.5799</v>
      </c>
      <c r="G21" s="19" t="n">
        <v>1.6102</v>
      </c>
      <c r="H21" s="19" t="n">
        <v>1.9083</v>
      </c>
      <c r="I21" s="19" t="n">
        <v>-0.3373</v>
      </c>
      <c r="J21" s="19" t="n">
        <v>0.4715</v>
      </c>
      <c r="K21" s="19" t="n">
        <v>1.5754</v>
      </c>
      <c r="L21" s="19" t="n">
        <v>1.1958</v>
      </c>
      <c r="M21" s="19" t="n">
        <v>0.2942</v>
      </c>
      <c r="N21" s="19" t="n">
        <v>2.9715</v>
      </c>
      <c r="O21" s="19" t="n">
        <v>0.5223</v>
      </c>
      <c r="P21" s="19" t="n">
        <v>-1.1448</v>
      </c>
      <c r="Q21" s="19" t="n">
        <v>-2.7072</v>
      </c>
    </row>
    <row r="22" ht="19" customHeight="1">
      <c r="A22" s="16" t="inlineStr">
        <is>
          <t>WINE-020</t>
        </is>
      </c>
      <c r="B22" s="20" t="n">
        <v>0.7897999999999999</v>
      </c>
      <c r="C22" s="20" t="n">
        <v>0.6855</v>
      </c>
      <c r="D22" s="20" t="n">
        <v>0.7072000000000001</v>
      </c>
      <c r="E22" s="20" t="n">
        <v>-1.2897</v>
      </c>
      <c r="F22" s="20" t="n">
        <v>1.1416</v>
      </c>
      <c r="G22" s="20" t="n">
        <v>0.6488</v>
      </c>
      <c r="H22" s="20" t="n">
        <v>1.0047</v>
      </c>
      <c r="I22" s="20" t="n">
        <v>-1.5459</v>
      </c>
      <c r="J22" s="20" t="n">
        <v>0.1211</v>
      </c>
      <c r="K22" s="20" t="n">
        <v>0.0181</v>
      </c>
      <c r="L22" s="20" t="n">
        <v>0.0112</v>
      </c>
      <c r="M22" s="20" t="n">
        <v>1.057</v>
      </c>
      <c r="N22" s="20" t="n">
        <v>0.3124</v>
      </c>
      <c r="O22" s="20" t="n">
        <v>-1.0485</v>
      </c>
      <c r="P22" s="20" t="n">
        <v>-1.1292</v>
      </c>
      <c r="Q22" s="20" t="n">
        <v>-0.0145</v>
      </c>
    </row>
    <row r="23" ht="19" customHeight="1">
      <c r="A23" s="13" t="inlineStr">
        <is>
          <t>WINE-021</t>
        </is>
      </c>
      <c r="B23" s="19" t="n">
        <v>1.3086</v>
      </c>
      <c r="C23" s="19" t="n">
        <v>-0.6341</v>
      </c>
      <c r="D23" s="19" t="n">
        <v>-0.3162</v>
      </c>
      <c r="E23" s="19" t="n">
        <v>-1.0495</v>
      </c>
      <c r="F23" s="19" t="n">
        <v>1.8437</v>
      </c>
      <c r="G23" s="19" t="n">
        <v>1.1295</v>
      </c>
      <c r="H23" s="19" t="n">
        <v>1.1453</v>
      </c>
      <c r="I23" s="19" t="n">
        <v>-0.9819</v>
      </c>
      <c r="J23" s="19" t="n">
        <v>0.892</v>
      </c>
      <c r="K23" s="19" t="n">
        <v>0.256</v>
      </c>
      <c r="L23" s="19" t="n">
        <v>0.5815</v>
      </c>
      <c r="M23" s="19" t="n">
        <v>1.5513</v>
      </c>
      <c r="N23" s="19" t="n">
        <v>0.1054</v>
      </c>
      <c r="O23" s="19" t="n">
        <v>1.9185</v>
      </c>
      <c r="P23" s="19" t="n">
        <v>-0.7639</v>
      </c>
      <c r="Q23" s="19" t="n">
        <v>-0.1828</v>
      </c>
    </row>
    <row r="24" ht="19" customHeight="1">
      <c r="A24" s="16" t="inlineStr">
        <is>
          <t>WINE-022</t>
        </is>
      </c>
      <c r="B24" s="20" t="n">
        <v>-0.0872</v>
      </c>
      <c r="C24" s="20" t="n">
        <v>1.3139</v>
      </c>
      <c r="D24" s="20" t="n">
        <v>1.0362</v>
      </c>
      <c r="E24" s="20" t="n">
        <v>-0.2687</v>
      </c>
      <c r="F24" s="20" t="n">
        <v>0.1586</v>
      </c>
      <c r="G24" s="20" t="n">
        <v>0.1841</v>
      </c>
      <c r="H24" s="20" t="n">
        <v>0.3822</v>
      </c>
      <c r="I24" s="20" t="n">
        <v>-0.9013</v>
      </c>
      <c r="J24" s="20" t="n">
        <v>0.6817</v>
      </c>
      <c r="K24" s="20" t="n">
        <v>-0.2414</v>
      </c>
      <c r="L24" s="20" t="n">
        <v>0.3183</v>
      </c>
      <c r="M24" s="20" t="n">
        <v>1.2829</v>
      </c>
      <c r="N24" s="20" t="n">
        <v>0.0736</v>
      </c>
      <c r="O24" s="20" t="n">
        <v>-0.3504</v>
      </c>
      <c r="P24" s="20" t="n">
        <v>-0.3987</v>
      </c>
      <c r="Q24" s="20" t="n">
        <v>0.7709</v>
      </c>
    </row>
    <row r="25" ht="19" customHeight="1">
      <c r="A25" s="13" t="inlineStr">
        <is>
          <t>WINE-023</t>
        </is>
      </c>
      <c r="B25" s="19" t="n">
        <v>0.8763</v>
      </c>
      <c r="C25" s="19" t="n">
        <v>-0.4276</v>
      </c>
      <c r="D25" s="19" t="n">
        <v>-0.0238</v>
      </c>
      <c r="E25" s="19" t="n">
        <v>-0.8693</v>
      </c>
      <c r="F25" s="19" t="n">
        <v>0.08840000000000001</v>
      </c>
      <c r="G25" s="19" t="n">
        <v>0.5046</v>
      </c>
      <c r="H25" s="19" t="n">
        <v>0.8541</v>
      </c>
      <c r="I25" s="19" t="n">
        <v>-0.7401</v>
      </c>
      <c r="J25" s="19" t="n">
        <v>0.1736</v>
      </c>
      <c r="K25" s="19" t="n">
        <v>-0.5442</v>
      </c>
      <c r="L25" s="19" t="n">
        <v>0.6693</v>
      </c>
      <c r="M25" s="19" t="n">
        <v>1.9609</v>
      </c>
      <c r="N25" s="19" t="n">
        <v>0.9175</v>
      </c>
      <c r="O25" s="19" t="n">
        <v>-0.8739</v>
      </c>
      <c r="P25" s="19" t="n">
        <v>0.736</v>
      </c>
      <c r="Q25" s="19" t="n">
        <v>1.8928</v>
      </c>
    </row>
    <row r="26" ht="19" customHeight="1">
      <c r="A26" s="16" t="inlineStr">
        <is>
          <t>WINE-024</t>
        </is>
      </c>
      <c r="B26" s="20" t="n">
        <v>-0.1861</v>
      </c>
      <c r="C26" s="20" t="n">
        <v>-0.661</v>
      </c>
      <c r="D26" s="20" t="n">
        <v>0.5610000000000001</v>
      </c>
      <c r="E26" s="20" t="n">
        <v>-0.509</v>
      </c>
      <c r="F26" s="20" t="n">
        <v>-0.3329</v>
      </c>
      <c r="G26" s="20" t="n">
        <v>0.2963</v>
      </c>
      <c r="H26" s="20" t="n">
        <v>0.3421</v>
      </c>
      <c r="I26" s="20" t="n">
        <v>-0.8207</v>
      </c>
      <c r="J26" s="20" t="n">
        <v>-0.2293</v>
      </c>
      <c r="K26" s="20" t="n">
        <v>-0.488</v>
      </c>
      <c r="L26" s="20" t="n">
        <v>0.5815</v>
      </c>
      <c r="M26" s="20" t="n">
        <v>1.4383</v>
      </c>
      <c r="N26" s="20" t="n">
        <v>0.8538</v>
      </c>
      <c r="O26" s="20" t="n">
        <v>0.8713</v>
      </c>
      <c r="P26" s="20" t="n">
        <v>-0.352</v>
      </c>
      <c r="Q26" s="20" t="n">
        <v>1.1635</v>
      </c>
    </row>
    <row r="27" ht="19" customHeight="1">
      <c r="A27" s="13" t="inlineStr">
        <is>
          <t>WINE-025</t>
        </is>
      </c>
      <c r="B27" s="19" t="n">
        <v>0.6169</v>
      </c>
      <c r="C27" s="19" t="n">
        <v>-0.4725</v>
      </c>
      <c r="D27" s="19" t="n">
        <v>0.89</v>
      </c>
      <c r="E27" s="19" t="n">
        <v>0.1517</v>
      </c>
      <c r="F27" s="19" t="n">
        <v>-0.2627</v>
      </c>
      <c r="G27" s="19" t="n">
        <v>0.3764</v>
      </c>
      <c r="H27" s="19" t="n">
        <v>0.583</v>
      </c>
      <c r="I27" s="19" t="n">
        <v>-0.6596</v>
      </c>
      <c r="J27" s="19" t="n">
        <v>0.1211</v>
      </c>
      <c r="K27" s="19" t="n">
        <v>-0.6653</v>
      </c>
      <c r="L27" s="19" t="n">
        <v>0.7131999999999999</v>
      </c>
      <c r="M27" s="19" t="n">
        <v>1.7067</v>
      </c>
      <c r="N27" s="19" t="n">
        <v>0.3124</v>
      </c>
      <c r="O27" s="19" t="n">
        <v>-0.6412</v>
      </c>
      <c r="P27" s="19" t="n">
        <v>-0.2277</v>
      </c>
      <c r="Q27" s="19" t="n">
        <v>-0.2389</v>
      </c>
    </row>
    <row r="28" ht="19" customHeight="1">
      <c r="A28" s="16" t="inlineStr">
        <is>
          <t>WINE-026</t>
        </is>
      </c>
      <c r="B28" s="20" t="n">
        <v>0.061</v>
      </c>
      <c r="C28" s="20" t="n">
        <v>-0.257</v>
      </c>
      <c r="D28" s="20" t="n">
        <v>3.1198</v>
      </c>
      <c r="E28" s="20" t="n">
        <v>1.6531</v>
      </c>
      <c r="F28" s="20" t="n">
        <v>1.7033</v>
      </c>
      <c r="G28" s="20" t="n">
        <v>0.5366</v>
      </c>
      <c r="H28" s="20" t="n">
        <v>0.6533</v>
      </c>
      <c r="I28" s="20" t="n">
        <v>0.8714</v>
      </c>
      <c r="J28" s="20" t="n">
        <v>0.5766</v>
      </c>
      <c r="K28" s="20" t="n">
        <v>-0.6394</v>
      </c>
      <c r="L28" s="20" t="n">
        <v>0.757</v>
      </c>
      <c r="M28" s="20" t="n">
        <v>0.831</v>
      </c>
      <c r="N28" s="20" t="n">
        <v>0.2647</v>
      </c>
      <c r="O28" s="20" t="n">
        <v>0.755</v>
      </c>
      <c r="P28" s="20" t="n">
        <v>-0.4531</v>
      </c>
      <c r="Q28" s="20" t="n">
        <v>-1.0803</v>
      </c>
    </row>
    <row r="29" ht="19" customHeight="1">
      <c r="A29" s="13" t="inlineStr">
        <is>
          <t>WINE-027</t>
        </is>
      </c>
      <c r="B29" s="19" t="n">
        <v>0.481</v>
      </c>
      <c r="C29" s="19" t="n">
        <v>-0.5084</v>
      </c>
      <c r="D29" s="19" t="n">
        <v>0.9266</v>
      </c>
      <c r="E29" s="19" t="n">
        <v>-1.0195</v>
      </c>
      <c r="F29" s="19" t="n">
        <v>-0.4733</v>
      </c>
      <c r="G29" s="19" t="n">
        <v>0.8891</v>
      </c>
      <c r="H29" s="19" t="n">
        <v>0.9143</v>
      </c>
      <c r="I29" s="19" t="n">
        <v>-0.1761</v>
      </c>
      <c r="J29" s="19" t="n">
        <v>-0.2469</v>
      </c>
      <c r="K29" s="19" t="n">
        <v>-0.1116</v>
      </c>
      <c r="L29" s="19" t="n">
        <v>-0.1643</v>
      </c>
      <c r="M29" s="19" t="n">
        <v>0.8592</v>
      </c>
      <c r="N29" s="19" t="n">
        <v>1.427</v>
      </c>
      <c r="O29" s="19" t="n">
        <v>1.2204</v>
      </c>
      <c r="P29" s="19" t="n">
        <v>0.1065</v>
      </c>
      <c r="Q29" s="19" t="n">
        <v>2.6221</v>
      </c>
    </row>
    <row r="30" ht="19" customHeight="1">
      <c r="A30" s="16" t="inlineStr">
        <is>
          <t>WINE-028</t>
        </is>
      </c>
      <c r="B30" s="20" t="n">
        <v>0.3698</v>
      </c>
      <c r="C30" s="20" t="n">
        <v>-0.5533</v>
      </c>
      <c r="D30" s="20" t="n">
        <v>-0.828</v>
      </c>
      <c r="E30" s="20" t="n">
        <v>-0.7492</v>
      </c>
      <c r="F30" s="20" t="n">
        <v>-0.4031</v>
      </c>
      <c r="G30" s="20" t="n">
        <v>0.1681</v>
      </c>
      <c r="H30" s="20" t="n">
        <v>0.1614</v>
      </c>
      <c r="I30" s="20" t="n">
        <v>-0.7401</v>
      </c>
      <c r="J30" s="20" t="n">
        <v>-0.4221</v>
      </c>
      <c r="K30" s="20" t="n">
        <v>-0.4793</v>
      </c>
      <c r="L30" s="20" t="n">
        <v>0.2744</v>
      </c>
      <c r="M30" s="20" t="n">
        <v>0.2236</v>
      </c>
      <c r="N30" s="20" t="n">
        <v>1.7136</v>
      </c>
      <c r="O30" s="20" t="n">
        <v>-0.4667</v>
      </c>
      <c r="P30" s="20" t="n">
        <v>-0.8339</v>
      </c>
      <c r="Q30" s="20" t="n">
        <v>0.0977</v>
      </c>
    </row>
    <row r="31" ht="19" customHeight="1">
      <c r="A31" s="13" t="inlineStr">
        <is>
          <t>WINE-029</t>
        </is>
      </c>
      <c r="B31" s="19" t="n">
        <v>1.0739</v>
      </c>
      <c r="C31" s="19" t="n">
        <v>-0.3917</v>
      </c>
      <c r="D31" s="19" t="n">
        <v>1.5845</v>
      </c>
      <c r="E31" s="19" t="n">
        <v>-0.0285</v>
      </c>
      <c r="F31" s="19" t="n">
        <v>0.5096000000000001</v>
      </c>
      <c r="G31" s="19" t="n">
        <v>1.0493</v>
      </c>
      <c r="H31" s="19" t="n">
        <v>0.9445</v>
      </c>
      <c r="I31" s="19" t="n">
        <v>0.06560000000000001</v>
      </c>
      <c r="J31" s="19" t="n">
        <v>0.2963</v>
      </c>
      <c r="K31" s="19" t="n">
        <v>-0.2414</v>
      </c>
      <c r="L31" s="19" t="n">
        <v>1.2835</v>
      </c>
      <c r="M31" s="19" t="n">
        <v>1.1134</v>
      </c>
      <c r="N31" s="19" t="n">
        <v>0.5353</v>
      </c>
      <c r="O31" s="19" t="n">
        <v>0.9877</v>
      </c>
      <c r="P31" s="19" t="n">
        <v>-0.3054</v>
      </c>
      <c r="Q31" s="19" t="n">
        <v>0.0416</v>
      </c>
    </row>
    <row r="32" ht="19" customHeight="1">
      <c r="A32" s="16" t="inlineStr">
        <is>
          <t>WINE-030</t>
        </is>
      </c>
      <c r="B32" s="20" t="n">
        <v>1.2592</v>
      </c>
      <c r="C32" s="20" t="n">
        <v>-0.5891999999999999</v>
      </c>
      <c r="D32" s="20" t="n">
        <v>-0.5721000000000001</v>
      </c>
      <c r="E32" s="20" t="n">
        <v>-1.0495</v>
      </c>
      <c r="F32" s="20" t="n">
        <v>-0.2627</v>
      </c>
      <c r="G32" s="20" t="n">
        <v>0.5686</v>
      </c>
      <c r="H32" s="20" t="n">
        <v>0.3019</v>
      </c>
      <c r="I32" s="20" t="n">
        <v>-0.8207</v>
      </c>
      <c r="J32" s="20" t="n">
        <v>0.6817</v>
      </c>
      <c r="K32" s="20" t="n">
        <v>-0.1549</v>
      </c>
      <c r="L32" s="20" t="n">
        <v>0.3622</v>
      </c>
      <c r="M32" s="20" t="n">
        <v>1.3818</v>
      </c>
      <c r="N32" s="20" t="n">
        <v>0.9175</v>
      </c>
      <c r="O32" s="20" t="n">
        <v>0.5804</v>
      </c>
      <c r="P32" s="20" t="n">
        <v>0.192</v>
      </c>
      <c r="Q32" s="20" t="n">
        <v>0.0416</v>
      </c>
    </row>
    <row r="33" ht="19" customHeight="1">
      <c r="A33" s="13" t="inlineStr">
        <is>
          <t>WINE-031</t>
        </is>
      </c>
      <c r="B33" s="19" t="n">
        <v>0.901</v>
      </c>
      <c r="C33" s="19" t="n">
        <v>-0.7508</v>
      </c>
      <c r="D33" s="19" t="n">
        <v>1.219</v>
      </c>
      <c r="E33" s="19" t="n">
        <v>0.9024</v>
      </c>
      <c r="F33" s="19" t="n">
        <v>0.08840000000000001</v>
      </c>
      <c r="G33" s="19" t="n">
        <v>1.1295</v>
      </c>
      <c r="H33" s="19" t="n">
        <v>1.2256</v>
      </c>
      <c r="I33" s="19" t="n">
        <v>-0.579</v>
      </c>
      <c r="J33" s="19" t="n">
        <v>1.3826</v>
      </c>
      <c r="K33" s="19" t="n">
        <v>0.2777</v>
      </c>
      <c r="L33" s="19" t="n">
        <v>1.0203</v>
      </c>
      <c r="M33" s="19" t="n">
        <v>0.1389</v>
      </c>
      <c r="N33" s="19" t="n">
        <v>1.7136</v>
      </c>
      <c r="O33" s="19" t="n">
        <v>1.0458</v>
      </c>
      <c r="P33" s="19" t="n">
        <v>0.0055</v>
      </c>
      <c r="Q33" s="19" t="n">
        <v>0.266</v>
      </c>
    </row>
    <row r="34" ht="19" customHeight="1">
      <c r="A34" s="16" t="inlineStr">
        <is>
          <t>WINE-032</t>
        </is>
      </c>
      <c r="B34" s="20" t="n">
        <v>0.7157</v>
      </c>
      <c r="C34" s="20" t="n">
        <v>-0.6071</v>
      </c>
      <c r="D34" s="20" t="n">
        <v>-0.0238</v>
      </c>
      <c r="E34" s="20" t="n">
        <v>-0.1186</v>
      </c>
      <c r="F34" s="20" t="n">
        <v>0.4394</v>
      </c>
      <c r="G34" s="20" t="n">
        <v>0.9051</v>
      </c>
      <c r="H34" s="20" t="n">
        <v>1.1653</v>
      </c>
      <c r="I34" s="20" t="n">
        <v>-1.143</v>
      </c>
      <c r="J34" s="20" t="n">
        <v>0.6292</v>
      </c>
      <c r="K34" s="20" t="n">
        <v>0.7968</v>
      </c>
      <c r="L34" s="20" t="n">
        <v>0.5815</v>
      </c>
      <c r="M34" s="20" t="n">
        <v>0.379</v>
      </c>
      <c r="N34" s="20" t="n">
        <v>2.446</v>
      </c>
      <c r="O34" s="20" t="n">
        <v>1.9185</v>
      </c>
      <c r="P34" s="20" t="n">
        <v>-0.1966</v>
      </c>
      <c r="Q34" s="20" t="n">
        <v>-0.1267</v>
      </c>
    </row>
    <row r="35" ht="19" customHeight="1">
      <c r="A35" s="13" t="inlineStr">
        <is>
          <t>WINE-033</t>
        </is>
      </c>
      <c r="B35" s="19" t="n">
        <v>0.8391999999999999</v>
      </c>
      <c r="C35" s="19" t="n">
        <v>-0.4545</v>
      </c>
      <c r="D35" s="19" t="n">
        <v>-0.0238</v>
      </c>
      <c r="E35" s="19" t="n">
        <v>-0.6891</v>
      </c>
      <c r="F35" s="19" t="n">
        <v>0.299</v>
      </c>
      <c r="G35" s="19" t="n">
        <v>0.2001</v>
      </c>
      <c r="H35" s="19" t="n">
        <v>0.6634</v>
      </c>
      <c r="I35" s="19" t="n">
        <v>0.4685</v>
      </c>
      <c r="J35" s="19" t="n">
        <v>0.6642</v>
      </c>
      <c r="K35" s="19" t="n">
        <v>-0.5269</v>
      </c>
      <c r="L35" s="19" t="n">
        <v>1.1958</v>
      </c>
      <c r="M35" s="19" t="n">
        <v>0.3649</v>
      </c>
      <c r="N35" s="19" t="n">
        <v>0.7742</v>
      </c>
      <c r="O35" s="19" t="n">
        <v>-0.0595</v>
      </c>
      <c r="P35" s="19" t="n">
        <v>-0.1888</v>
      </c>
      <c r="Q35" s="19" t="n">
        <v>-0.5194</v>
      </c>
    </row>
    <row r="36" ht="19" customHeight="1">
      <c r="A36" s="16" t="inlineStr">
        <is>
          <t>WINE-034</t>
        </is>
      </c>
      <c r="B36" s="20" t="n">
        <v>0.9379999999999999</v>
      </c>
      <c r="C36" s="20" t="n">
        <v>-0.7238</v>
      </c>
      <c r="D36" s="20" t="n">
        <v>1.219</v>
      </c>
      <c r="E36" s="20" t="n">
        <v>0.0015</v>
      </c>
      <c r="F36" s="20" t="n">
        <v>2.265</v>
      </c>
      <c r="G36" s="20" t="n">
        <v>1.0493</v>
      </c>
      <c r="H36" s="20" t="n">
        <v>0.7135</v>
      </c>
      <c r="I36" s="20" t="n">
        <v>1.1132</v>
      </c>
      <c r="J36" s="20" t="n">
        <v>-0.4221</v>
      </c>
      <c r="K36" s="20" t="n">
        <v>0.1479</v>
      </c>
      <c r="L36" s="20" t="n">
        <v>1.2835</v>
      </c>
      <c r="M36" s="20" t="n">
        <v>0.5485</v>
      </c>
      <c r="N36" s="20" t="n">
        <v>1.5544</v>
      </c>
      <c r="O36" s="20" t="n">
        <v>-0.3504</v>
      </c>
      <c r="P36" s="20" t="n">
        <v>0.3008</v>
      </c>
      <c r="Q36" s="20" t="n">
        <v>-0.5194</v>
      </c>
    </row>
    <row r="37" ht="19" customHeight="1">
      <c r="A37" s="13" t="inlineStr">
        <is>
          <t>WINE-035</t>
        </is>
      </c>
      <c r="B37" s="19" t="n">
        <v>0.6292</v>
      </c>
      <c r="C37" s="19" t="n">
        <v>-0.4815</v>
      </c>
      <c r="D37" s="19" t="n">
        <v>1.0362</v>
      </c>
      <c r="E37" s="19" t="n">
        <v>-0.1486</v>
      </c>
      <c r="F37" s="19" t="n">
        <v>0.7203000000000001</v>
      </c>
      <c r="G37" s="19" t="n">
        <v>0.08790000000000001</v>
      </c>
      <c r="H37" s="19" t="n">
        <v>0.5027</v>
      </c>
      <c r="I37" s="19" t="n">
        <v>-0.579</v>
      </c>
      <c r="J37" s="19" t="n">
        <v>-0.0892</v>
      </c>
      <c r="K37" s="19" t="n">
        <v>-0.3712</v>
      </c>
      <c r="L37" s="19" t="n">
        <v>0.6254</v>
      </c>
      <c r="M37" s="19" t="n">
        <v>0.3649</v>
      </c>
      <c r="N37" s="19" t="n">
        <v>1.1085</v>
      </c>
      <c r="O37" s="19" t="n">
        <v>-0.5831</v>
      </c>
      <c r="P37" s="19" t="n">
        <v>2.881</v>
      </c>
      <c r="Q37" s="19" t="n">
        <v>-0.0145</v>
      </c>
    </row>
    <row r="38" ht="19" customHeight="1">
      <c r="A38" s="16" t="inlineStr">
        <is>
          <t>WINE-036</t>
        </is>
      </c>
      <c r="B38" s="20" t="n">
        <v>0.5921999999999999</v>
      </c>
      <c r="C38" s="20" t="n">
        <v>-0.4725</v>
      </c>
      <c r="D38" s="20" t="n">
        <v>0.1589</v>
      </c>
      <c r="E38" s="20" t="n">
        <v>0.3018</v>
      </c>
      <c r="F38" s="20" t="n">
        <v>0.0181</v>
      </c>
      <c r="G38" s="20" t="n">
        <v>0.6488</v>
      </c>
      <c r="H38" s="20" t="n">
        <v>0.9545</v>
      </c>
      <c r="I38" s="20" t="n">
        <v>-0.8207</v>
      </c>
      <c r="J38" s="20" t="n">
        <v>0.4715</v>
      </c>
      <c r="K38" s="20" t="n">
        <v>0.0181</v>
      </c>
      <c r="L38" s="20" t="n">
        <v>0.3622</v>
      </c>
      <c r="M38" s="20" t="n">
        <v>1.2123</v>
      </c>
      <c r="N38" s="20" t="n">
        <v>0.5513</v>
      </c>
      <c r="O38" s="20" t="n">
        <v>-0.5249</v>
      </c>
      <c r="P38" s="20" t="n">
        <v>-0.795</v>
      </c>
      <c r="Q38" s="20" t="n">
        <v>-0.5194</v>
      </c>
    </row>
    <row r="39" ht="19" customHeight="1">
      <c r="A39" s="13" t="inlineStr">
        <is>
          <t>WINE-037</t>
        </is>
      </c>
      <c r="B39" s="19" t="n">
        <v>0.3451</v>
      </c>
      <c r="C39" s="19" t="n">
        <v>-0.6251</v>
      </c>
      <c r="D39" s="19" t="n">
        <v>1.7307</v>
      </c>
      <c r="E39" s="19" t="n">
        <v>-1.1996</v>
      </c>
      <c r="F39" s="19" t="n">
        <v>0.7203000000000001</v>
      </c>
      <c r="G39" s="19" t="n">
        <v>0.4885</v>
      </c>
      <c r="H39" s="19" t="n">
        <v>0.6533</v>
      </c>
      <c r="I39" s="19" t="n">
        <v>-0.1761</v>
      </c>
      <c r="J39" s="19" t="n">
        <v>-0.4046</v>
      </c>
      <c r="K39" s="19" t="n">
        <v>-0.1982</v>
      </c>
      <c r="L39" s="19" t="n">
        <v>0.5815</v>
      </c>
      <c r="M39" s="19" t="n">
        <v>0.2377</v>
      </c>
      <c r="N39" s="19" t="n">
        <v>0.4239</v>
      </c>
      <c r="O39" s="19" t="n">
        <v>0.1732</v>
      </c>
      <c r="P39" s="19" t="n">
        <v>2.9509</v>
      </c>
      <c r="Q39" s="19" t="n">
        <v>-0.6877</v>
      </c>
    </row>
    <row r="40" ht="19" customHeight="1">
      <c r="A40" s="16" t="inlineStr">
        <is>
          <t>WINE-038</t>
        </is>
      </c>
      <c r="B40" s="20" t="n">
        <v>0.061</v>
      </c>
      <c r="C40" s="20" t="n">
        <v>-0.6161</v>
      </c>
      <c r="D40" s="20" t="n">
        <v>0.6707</v>
      </c>
      <c r="E40" s="20" t="n">
        <v>-0.4489</v>
      </c>
      <c r="F40" s="20" t="n">
        <v>-0.1223</v>
      </c>
      <c r="G40" s="20" t="n">
        <v>0.2482</v>
      </c>
      <c r="H40" s="20" t="n">
        <v>0.4023</v>
      </c>
      <c r="I40" s="20" t="n">
        <v>-0.579</v>
      </c>
      <c r="J40" s="20" t="n">
        <v>-0.2644</v>
      </c>
      <c r="K40" s="20" t="n">
        <v>-0.3496</v>
      </c>
      <c r="L40" s="20" t="n">
        <v>0.7131999999999999</v>
      </c>
      <c r="M40" s="20" t="n">
        <v>-0.1436</v>
      </c>
      <c r="N40" s="20" t="n">
        <v>1.1404</v>
      </c>
      <c r="O40" s="20" t="n">
        <v>0.5804</v>
      </c>
      <c r="P40" s="20" t="n">
        <v>-0.8183</v>
      </c>
      <c r="Q40" s="20" t="n">
        <v>0.1538</v>
      </c>
    </row>
    <row r="41" ht="19" customHeight="1">
      <c r="A41" s="13" t="inlineStr">
        <is>
          <t>WINE-039</t>
        </is>
      </c>
      <c r="B41" s="19" t="n">
        <v>0.0857</v>
      </c>
      <c r="C41" s="19" t="n">
        <v>-0.7508</v>
      </c>
      <c r="D41" s="19" t="n">
        <v>-0.9742</v>
      </c>
      <c r="E41" s="19" t="n">
        <v>-1.1996</v>
      </c>
      <c r="F41" s="19" t="n">
        <v>-0.1223</v>
      </c>
      <c r="G41" s="19" t="n">
        <v>0.1681</v>
      </c>
      <c r="H41" s="19" t="n">
        <v>0.6132</v>
      </c>
      <c r="I41" s="19" t="n">
        <v>-0.6596</v>
      </c>
      <c r="J41" s="19" t="n">
        <v>-0.387</v>
      </c>
      <c r="K41" s="19" t="n">
        <v>-0.5875</v>
      </c>
      <c r="L41" s="19" t="n">
        <v>0.9764</v>
      </c>
      <c r="M41" s="19" t="n">
        <v>0.1106</v>
      </c>
      <c r="N41" s="19" t="n">
        <v>0.8697</v>
      </c>
      <c r="O41" s="19" t="n">
        <v>0.5804</v>
      </c>
      <c r="P41" s="19" t="n">
        <v>-1.3701</v>
      </c>
      <c r="Q41" s="19" t="n">
        <v>-0.2389</v>
      </c>
    </row>
    <row r="42" ht="19" customHeight="1">
      <c r="A42" s="16" t="inlineStr">
        <is>
          <t>WINE-040</t>
        </is>
      </c>
      <c r="B42" s="20" t="n">
        <v>1.5063</v>
      </c>
      <c r="C42" s="20" t="n">
        <v>1.4844</v>
      </c>
      <c r="D42" s="20" t="n">
        <v>0.5245</v>
      </c>
      <c r="E42" s="20" t="n">
        <v>-1.8903</v>
      </c>
      <c r="F42" s="20" t="n">
        <v>1.9841</v>
      </c>
      <c r="G42" s="20" t="n">
        <v>1.1295</v>
      </c>
      <c r="H42" s="20" t="n">
        <v>1.0147</v>
      </c>
      <c r="I42" s="20" t="n">
        <v>-1.3042</v>
      </c>
      <c r="J42" s="20" t="n">
        <v>0.8569</v>
      </c>
      <c r="K42" s="20" t="n">
        <v>0.0181</v>
      </c>
      <c r="L42" s="20" t="n">
        <v>-0.2959</v>
      </c>
      <c r="M42" s="20" t="n">
        <v>1.2971</v>
      </c>
      <c r="N42" s="20" t="n">
        <v>0.0417</v>
      </c>
      <c r="O42" s="20" t="n">
        <v>-0.1177</v>
      </c>
      <c r="P42" s="20" t="n">
        <v>-0.6318</v>
      </c>
      <c r="Q42" s="20" t="n">
        <v>1.5562</v>
      </c>
    </row>
    <row r="43" ht="19" customHeight="1">
      <c r="A43" s="13" t="inlineStr">
        <is>
          <t>WINE-041</t>
        </is>
      </c>
      <c r="B43" s="19" t="n">
        <v>0.6909999999999999</v>
      </c>
      <c r="C43" s="19" t="n">
        <v>-0.5622</v>
      </c>
      <c r="D43" s="19" t="n">
        <v>-0.2066</v>
      </c>
      <c r="E43" s="19" t="n">
        <v>-0.9893999999999999</v>
      </c>
      <c r="F43" s="19" t="n">
        <v>1.2118</v>
      </c>
      <c r="G43" s="19" t="n">
        <v>1.3698</v>
      </c>
      <c r="H43" s="19" t="n">
        <v>1.2657</v>
      </c>
      <c r="I43" s="19" t="n">
        <v>-0.1761</v>
      </c>
      <c r="J43" s="19" t="n">
        <v>1.3125</v>
      </c>
      <c r="K43" s="19" t="n">
        <v>0.4637</v>
      </c>
      <c r="L43" s="19" t="n">
        <v>-0.0327</v>
      </c>
      <c r="M43" s="19" t="n">
        <v>1.0852</v>
      </c>
      <c r="N43" s="19" t="n">
        <v>0.1532</v>
      </c>
      <c r="O43" s="19" t="n">
        <v>0.2314</v>
      </c>
      <c r="P43" s="19" t="n">
        <v>0.1298</v>
      </c>
      <c r="Q43" s="19" t="n">
        <v>-2.6511</v>
      </c>
    </row>
    <row r="44" ht="19" customHeight="1">
      <c r="A44" s="16" t="inlineStr">
        <is>
          <t>WINE-042</t>
        </is>
      </c>
      <c r="B44" s="20" t="n">
        <v>0.5057</v>
      </c>
      <c r="C44" s="20" t="n">
        <v>1.3498</v>
      </c>
      <c r="D44" s="20" t="n">
        <v>-0.9011</v>
      </c>
      <c r="E44" s="20" t="n">
        <v>-0.2087</v>
      </c>
      <c r="F44" s="20" t="n">
        <v>-0.6840000000000001</v>
      </c>
      <c r="G44" s="20" t="n">
        <v>0.2482</v>
      </c>
      <c r="H44" s="20" t="n">
        <v>0.6533</v>
      </c>
      <c r="I44" s="20" t="n">
        <v>-0.7401</v>
      </c>
      <c r="J44" s="20" t="n">
        <v>-0.1943</v>
      </c>
      <c r="K44" s="20" t="n">
        <v>-0.3366</v>
      </c>
      <c r="L44" s="20" t="n">
        <v>-0.2082</v>
      </c>
      <c r="M44" s="20" t="n">
        <v>0.5485</v>
      </c>
      <c r="N44" s="20" t="n">
        <v>0.9175</v>
      </c>
      <c r="O44" s="20" t="n">
        <v>0.5223</v>
      </c>
      <c r="P44" s="20" t="n">
        <v>2.337</v>
      </c>
      <c r="Q44" s="20" t="n">
        <v>1.1635</v>
      </c>
    </row>
    <row r="45" ht="19" customHeight="1">
      <c r="A45" s="13" t="inlineStr">
        <is>
          <t>WINE-043</t>
        </is>
      </c>
      <c r="B45" s="19" t="n">
        <v>1.0863</v>
      </c>
      <c r="C45" s="19" t="n">
        <v>-0.4007</v>
      </c>
      <c r="D45" s="19" t="n">
        <v>0.8169</v>
      </c>
      <c r="E45" s="19" t="n">
        <v>-1.3498</v>
      </c>
      <c r="F45" s="19" t="n">
        <v>0.08840000000000001</v>
      </c>
      <c r="G45" s="19" t="n">
        <v>1.53</v>
      </c>
      <c r="H45" s="19" t="n">
        <v>1.5368</v>
      </c>
      <c r="I45" s="19" t="n">
        <v>-1.5459</v>
      </c>
      <c r="J45" s="19" t="n">
        <v>0.1912</v>
      </c>
      <c r="K45" s="19" t="n">
        <v>0.1609</v>
      </c>
      <c r="L45" s="19" t="n">
        <v>-0.3398</v>
      </c>
      <c r="M45" s="19" t="n">
        <v>1.3394</v>
      </c>
      <c r="N45" s="19" t="n">
        <v>1.1085</v>
      </c>
      <c r="O45" s="19" t="n">
        <v>-0.0595</v>
      </c>
      <c r="P45" s="19" t="n">
        <v>-0.8727</v>
      </c>
      <c r="Q45" s="19" t="n">
        <v>1.2757</v>
      </c>
    </row>
    <row r="46" ht="19" customHeight="1">
      <c r="A46" s="16" t="inlineStr">
        <is>
          <t>WINE-044</t>
        </is>
      </c>
      <c r="B46" s="20" t="n">
        <v>0.2957</v>
      </c>
      <c r="C46" s="20" t="n">
        <v>1.4754</v>
      </c>
      <c r="D46" s="20" t="n">
        <v>-0.2797</v>
      </c>
      <c r="E46" s="20" t="n">
        <v>-0.5991</v>
      </c>
      <c r="F46" s="20" t="n">
        <v>0.2288</v>
      </c>
      <c r="G46" s="20" t="n">
        <v>0.5526</v>
      </c>
      <c r="H46" s="20" t="n">
        <v>0.6031</v>
      </c>
      <c r="I46" s="20" t="n">
        <v>-0.3373</v>
      </c>
      <c r="J46" s="20" t="n">
        <v>0.1211</v>
      </c>
      <c r="K46" s="20" t="n">
        <v>-0.302</v>
      </c>
      <c r="L46" s="20" t="n">
        <v>-0.603</v>
      </c>
      <c r="M46" s="20" t="n">
        <v>0.5485</v>
      </c>
      <c r="N46" s="20" t="n">
        <v>-0.213</v>
      </c>
      <c r="O46" s="20" t="n">
        <v>1.5694</v>
      </c>
      <c r="P46" s="20" t="n">
        <v>0.293</v>
      </c>
      <c r="Q46" s="20" t="n">
        <v>-2.034</v>
      </c>
    </row>
    <row r="47" ht="19" customHeight="1">
      <c r="A47" s="13" t="inlineStr">
        <is>
          <t>WINE-045</t>
        </is>
      </c>
      <c r="B47" s="19" t="n">
        <v>0.061</v>
      </c>
      <c r="C47" s="19" t="n">
        <v>-0.5084</v>
      </c>
      <c r="D47" s="19" t="n">
        <v>-0.9742</v>
      </c>
      <c r="E47" s="19" t="n">
        <v>-0.7492</v>
      </c>
      <c r="F47" s="19" t="n">
        <v>0.5096000000000001</v>
      </c>
      <c r="G47" s="19" t="n">
        <v>1.1295</v>
      </c>
      <c r="H47" s="19" t="n">
        <v>0.9746</v>
      </c>
      <c r="I47" s="19" t="n">
        <v>-0.6596</v>
      </c>
      <c r="J47" s="19" t="n">
        <v>0.7693</v>
      </c>
      <c r="K47" s="19" t="n">
        <v>-0.0078</v>
      </c>
      <c r="L47" s="19" t="n">
        <v>-0.3398</v>
      </c>
      <c r="M47" s="19" t="n">
        <v>1.0428</v>
      </c>
      <c r="N47" s="19" t="n">
        <v>0.4398</v>
      </c>
      <c r="O47" s="19" t="n">
        <v>0.755</v>
      </c>
      <c r="P47" s="19" t="n">
        <v>-1.0903</v>
      </c>
      <c r="Q47" s="19" t="n">
        <v>-0.295</v>
      </c>
    </row>
    <row r="48" ht="19" customHeight="1">
      <c r="A48" s="16" t="inlineStr">
        <is>
          <t>WINE-046</t>
        </is>
      </c>
      <c r="B48" s="20" t="n">
        <v>1.4939</v>
      </c>
      <c r="C48" s="20" t="n">
        <v>1.5293</v>
      </c>
      <c r="D48" s="20" t="n">
        <v>0.2686</v>
      </c>
      <c r="E48" s="20" t="n">
        <v>-0.1787</v>
      </c>
      <c r="F48" s="20" t="n">
        <v>0.7905</v>
      </c>
      <c r="G48" s="20" t="n">
        <v>0.8891</v>
      </c>
      <c r="H48" s="20" t="n">
        <v>0.6232</v>
      </c>
      <c r="I48" s="20" t="n">
        <v>-0.4984</v>
      </c>
      <c r="J48" s="20" t="n">
        <v>-0.5973000000000001</v>
      </c>
      <c r="K48" s="20" t="n">
        <v>0.07870000000000001</v>
      </c>
      <c r="L48" s="20" t="n">
        <v>-0.3837</v>
      </c>
      <c r="M48" s="20" t="n">
        <v>1.0146</v>
      </c>
      <c r="N48" s="20" t="n">
        <v>1.0608</v>
      </c>
      <c r="O48" s="20" t="n">
        <v>-1.572</v>
      </c>
      <c r="P48" s="20" t="n">
        <v>2.2592</v>
      </c>
      <c r="Q48" s="20" t="n">
        <v>-0.3511</v>
      </c>
    </row>
    <row r="49" ht="19" customHeight="1">
      <c r="A49" s="13" t="inlineStr">
        <is>
          <t>WINE-047</t>
        </is>
      </c>
      <c r="B49" s="19" t="n">
        <v>1.7039</v>
      </c>
      <c r="C49" s="19" t="n">
        <v>1.1254</v>
      </c>
      <c r="D49" s="19" t="n">
        <v>-0.3162</v>
      </c>
      <c r="E49" s="19" t="n">
        <v>-1.0495</v>
      </c>
      <c r="F49" s="19" t="n">
        <v>0.1586</v>
      </c>
      <c r="G49" s="19" t="n">
        <v>1.53</v>
      </c>
      <c r="H49" s="19" t="n">
        <v>1.1453</v>
      </c>
      <c r="I49" s="19" t="n">
        <v>-0.7401</v>
      </c>
      <c r="J49" s="19" t="n">
        <v>1.0497</v>
      </c>
      <c r="K49" s="19" t="n">
        <v>-0.0684</v>
      </c>
      <c r="L49" s="19" t="n">
        <v>0.3622</v>
      </c>
      <c r="M49" s="19" t="n">
        <v>1.1699</v>
      </c>
      <c r="N49" s="19" t="n">
        <v>1.013</v>
      </c>
      <c r="O49" s="19" t="n">
        <v>-1.572</v>
      </c>
      <c r="P49" s="19" t="n">
        <v>1.1868</v>
      </c>
      <c r="Q49" s="19" t="n">
        <v>-1.3608</v>
      </c>
    </row>
    <row r="50" ht="19" customHeight="1">
      <c r="A50" s="16" t="inlineStr">
        <is>
          <t>WINE-048</t>
        </is>
      </c>
      <c r="B50" s="20" t="n">
        <v>1.111</v>
      </c>
      <c r="C50" s="20" t="n">
        <v>-0.5891999999999999</v>
      </c>
      <c r="D50" s="20" t="n">
        <v>-0.9011</v>
      </c>
      <c r="E50" s="20" t="n">
        <v>-1.0495</v>
      </c>
      <c r="F50" s="20" t="n">
        <v>0.08840000000000001</v>
      </c>
      <c r="G50" s="20" t="n">
        <v>1.2897</v>
      </c>
      <c r="H50" s="20" t="n">
        <v>1.3661</v>
      </c>
      <c r="I50" s="20" t="n">
        <v>-1.2236</v>
      </c>
      <c r="J50" s="20" t="n">
        <v>0.9621</v>
      </c>
      <c r="K50" s="20" t="n">
        <v>0.4507</v>
      </c>
      <c r="L50" s="20" t="n">
        <v>-0.2082</v>
      </c>
      <c r="M50" s="20" t="n">
        <v>1.0146</v>
      </c>
      <c r="N50" s="20" t="n">
        <v>0.7582</v>
      </c>
      <c r="O50" s="20" t="n">
        <v>0.6385999999999999</v>
      </c>
      <c r="P50" s="20" t="n">
        <v>-0.593</v>
      </c>
      <c r="Q50" s="20" t="n">
        <v>-0.7438</v>
      </c>
    </row>
    <row r="51" ht="19" customHeight="1">
      <c r="A51" s="13" t="inlineStr">
        <is>
          <t>WINE-049</t>
        </is>
      </c>
      <c r="B51" s="19" t="n">
        <v>1.358</v>
      </c>
      <c r="C51" s="19" t="n">
        <v>-0.284</v>
      </c>
      <c r="D51" s="19" t="n">
        <v>0.1224</v>
      </c>
      <c r="E51" s="19" t="n">
        <v>-0.2087</v>
      </c>
      <c r="F51" s="19" t="n">
        <v>0.2288</v>
      </c>
      <c r="G51" s="19" t="n">
        <v>0.7289</v>
      </c>
      <c r="H51" s="19" t="n">
        <v>0.8943</v>
      </c>
      <c r="I51" s="19" t="n">
        <v>-0.3373</v>
      </c>
      <c r="J51" s="19" t="n">
        <v>1.3826</v>
      </c>
      <c r="K51" s="19" t="n">
        <v>0.494</v>
      </c>
      <c r="L51" s="19" t="n">
        <v>0.4938</v>
      </c>
      <c r="M51" s="19" t="n">
        <v>0.1954</v>
      </c>
      <c r="N51" s="19" t="n">
        <v>0.9971</v>
      </c>
      <c r="O51" s="19" t="n">
        <v>-0.1177</v>
      </c>
      <c r="P51" s="19" t="n">
        <v>1.451</v>
      </c>
      <c r="Q51" s="19" t="n">
        <v>-1.0803</v>
      </c>
    </row>
    <row r="52" ht="19" customHeight="1">
      <c r="A52" s="16" t="inlineStr">
        <is>
          <t>WINE-050</t>
        </is>
      </c>
      <c r="B52" s="20" t="n">
        <v>1.1604</v>
      </c>
      <c r="C52" s="20" t="n">
        <v>-0.5443</v>
      </c>
      <c r="D52" s="20" t="n">
        <v>-0.3528</v>
      </c>
      <c r="E52" s="20" t="n">
        <v>-0.6291</v>
      </c>
      <c r="F52" s="20" t="n">
        <v>0.5799</v>
      </c>
      <c r="G52" s="20" t="n">
        <v>0.9372</v>
      </c>
      <c r="H52" s="20" t="n">
        <v>1.5167</v>
      </c>
      <c r="I52" s="20" t="n">
        <v>-0.3373</v>
      </c>
      <c r="J52" s="20" t="n">
        <v>0.8569</v>
      </c>
      <c r="K52" s="20" t="n">
        <v>1.6619</v>
      </c>
      <c r="L52" s="20" t="n">
        <v>0.7131999999999999</v>
      </c>
      <c r="M52" s="20" t="n">
        <v>0.6897</v>
      </c>
      <c r="N52" s="20" t="n">
        <v>1.634</v>
      </c>
      <c r="O52" s="20" t="n">
        <v>0.8713</v>
      </c>
      <c r="P52" s="20" t="n">
        <v>-0.3132</v>
      </c>
      <c r="Q52" s="20" t="n">
        <v>1.8367</v>
      </c>
    </row>
    <row r="53" ht="19" customHeight="1">
      <c r="A53" s="13" t="inlineStr">
        <is>
          <t>WINE-051</t>
        </is>
      </c>
      <c r="B53" s="19" t="n">
        <v>0.061</v>
      </c>
      <c r="C53" s="19" t="n">
        <v>-0.5443</v>
      </c>
      <c r="D53" s="19" t="n">
        <v>-1.1935</v>
      </c>
      <c r="E53" s="19" t="n">
        <v>-2.1305</v>
      </c>
      <c r="F53" s="19" t="n">
        <v>-0.5436</v>
      </c>
      <c r="G53" s="19" t="n">
        <v>0.6808</v>
      </c>
      <c r="H53" s="19" t="n">
        <v>1.2457</v>
      </c>
      <c r="I53" s="19" t="n">
        <v>-1.5459</v>
      </c>
      <c r="J53" s="19" t="n">
        <v>2.3112</v>
      </c>
      <c r="K53" s="19" t="n">
        <v>0.9265</v>
      </c>
      <c r="L53" s="19" t="n">
        <v>0.7131999999999999</v>
      </c>
      <c r="M53" s="19" t="n">
        <v>0.4214</v>
      </c>
      <c r="N53" s="19" t="n">
        <v>1.2837</v>
      </c>
      <c r="O53" s="19" t="n">
        <v>0.6385999999999999</v>
      </c>
      <c r="P53" s="19" t="n">
        <v>1.2722</v>
      </c>
      <c r="Q53" s="19" t="n">
        <v>0.9952</v>
      </c>
    </row>
    <row r="54" ht="19" customHeight="1">
      <c r="A54" s="16" t="inlineStr">
        <is>
          <t>WINE-052</t>
        </is>
      </c>
      <c r="B54" s="20" t="n">
        <v>1.0245</v>
      </c>
      <c r="C54" s="20" t="n">
        <v>-0.6161</v>
      </c>
      <c r="D54" s="20" t="n">
        <v>0.8535</v>
      </c>
      <c r="E54" s="20" t="n">
        <v>-0.6891</v>
      </c>
      <c r="F54" s="20" t="n">
        <v>-0.4031</v>
      </c>
      <c r="G54" s="20" t="n">
        <v>0.2482</v>
      </c>
      <c r="H54" s="20" t="n">
        <v>0.9645</v>
      </c>
      <c r="I54" s="20" t="n">
        <v>-1.143</v>
      </c>
      <c r="J54" s="20" t="n">
        <v>1.2249</v>
      </c>
      <c r="K54" s="20" t="n">
        <v>0.2344</v>
      </c>
      <c r="L54" s="20" t="n">
        <v>1.2396</v>
      </c>
      <c r="M54" s="20" t="n">
        <v>1.0711</v>
      </c>
      <c r="N54" s="20" t="n">
        <v>1.6499</v>
      </c>
      <c r="O54" s="20" t="n">
        <v>0.1732</v>
      </c>
      <c r="P54" s="20" t="n">
        <v>-0.2044</v>
      </c>
      <c r="Q54" s="20" t="n">
        <v>1.3318</v>
      </c>
    </row>
    <row r="55" ht="19" customHeight="1">
      <c r="A55" s="13" t="inlineStr">
        <is>
          <t>WINE-053</t>
        </is>
      </c>
      <c r="B55" s="19" t="n">
        <v>1.0122</v>
      </c>
      <c r="C55" s="19" t="n">
        <v>-0.5263</v>
      </c>
      <c r="D55" s="19" t="n">
        <v>0.1955</v>
      </c>
      <c r="E55" s="19" t="n">
        <v>-1.65</v>
      </c>
      <c r="F55" s="19" t="n">
        <v>0.7905</v>
      </c>
      <c r="G55" s="19" t="n">
        <v>2.5395</v>
      </c>
      <c r="H55" s="19" t="n">
        <v>1.7175</v>
      </c>
      <c r="I55" s="19" t="n">
        <v>-0.3373</v>
      </c>
      <c r="J55" s="19" t="n">
        <v>0.489</v>
      </c>
      <c r="K55" s="19" t="n">
        <v>0.8616</v>
      </c>
      <c r="L55" s="19" t="n">
        <v>0.2306</v>
      </c>
      <c r="M55" s="19" t="n">
        <v>0.9157</v>
      </c>
      <c r="N55" s="19" t="n">
        <v>1.4111</v>
      </c>
      <c r="O55" s="19" t="n">
        <v>-0.5249</v>
      </c>
      <c r="P55" s="19" t="n">
        <v>-0.1655</v>
      </c>
      <c r="Q55" s="19" t="n">
        <v>0.7709</v>
      </c>
    </row>
    <row r="56" ht="19" customHeight="1">
      <c r="A56" s="16" t="inlineStr">
        <is>
          <t>WINE-054</t>
        </is>
      </c>
      <c r="B56" s="20" t="n">
        <v>0.9504</v>
      </c>
      <c r="C56" s="20" t="n">
        <v>-0.3917</v>
      </c>
      <c r="D56" s="20" t="n">
        <v>1.1459</v>
      </c>
      <c r="E56" s="20" t="n">
        <v>-0.7192</v>
      </c>
      <c r="F56" s="20" t="n">
        <v>1.0713</v>
      </c>
      <c r="G56" s="20" t="n">
        <v>1.1295</v>
      </c>
      <c r="H56" s="20" t="n">
        <v>0.7637</v>
      </c>
      <c r="I56" s="20" t="n">
        <v>0.2268</v>
      </c>
      <c r="J56" s="20" t="n">
        <v>0.1561</v>
      </c>
      <c r="K56" s="20" t="n">
        <v>0.5372</v>
      </c>
      <c r="L56" s="20" t="n">
        <v>0.757</v>
      </c>
      <c r="M56" s="20" t="n">
        <v>0.4496</v>
      </c>
      <c r="N56" s="20" t="n">
        <v>2.0002</v>
      </c>
      <c r="O56" s="20" t="n">
        <v>-1.1648</v>
      </c>
      <c r="P56" s="20" t="n">
        <v>-0.5774</v>
      </c>
      <c r="Q56" s="20" t="n">
        <v>-1.0803</v>
      </c>
    </row>
    <row r="57" ht="19" customHeight="1">
      <c r="A57" s="13" t="inlineStr">
        <is>
          <t>WINE-055</t>
        </is>
      </c>
      <c r="B57" s="19" t="n">
        <v>0.9133</v>
      </c>
      <c r="C57" s="19" t="n">
        <v>-0.5982</v>
      </c>
      <c r="D57" s="19" t="n">
        <v>-0.4259</v>
      </c>
      <c r="E57" s="19" t="n">
        <v>-0.9294</v>
      </c>
      <c r="F57" s="19" t="n">
        <v>1.282</v>
      </c>
      <c r="G57" s="19" t="n">
        <v>0.4885</v>
      </c>
      <c r="H57" s="19" t="n">
        <v>0.8742</v>
      </c>
      <c r="I57" s="19" t="n">
        <v>-1.2236</v>
      </c>
      <c r="J57" s="19" t="n">
        <v>0.051</v>
      </c>
      <c r="K57" s="19" t="n">
        <v>0.3426</v>
      </c>
      <c r="L57" s="19" t="n">
        <v>-0.1643</v>
      </c>
      <c r="M57" s="19" t="n">
        <v>0.831</v>
      </c>
      <c r="N57" s="19" t="n">
        <v>0.9971</v>
      </c>
      <c r="O57" s="19" t="n">
        <v>-0.1177</v>
      </c>
      <c r="P57" s="19" t="n">
        <v>0.4484</v>
      </c>
      <c r="Q57" s="19" t="n">
        <v>-0.4633</v>
      </c>
    </row>
    <row r="58" ht="19" customHeight="1">
      <c r="A58" s="16" t="inlineStr">
        <is>
          <t>WINE-056</t>
        </is>
      </c>
      <c r="B58" s="20" t="n">
        <v>0.6909999999999999</v>
      </c>
      <c r="C58" s="20" t="n">
        <v>-0.5443</v>
      </c>
      <c r="D58" s="20" t="n">
        <v>0.3417</v>
      </c>
      <c r="E58" s="20" t="n">
        <v>0.3018</v>
      </c>
      <c r="F58" s="20" t="n">
        <v>1.1416</v>
      </c>
      <c r="G58" s="20" t="n">
        <v>1.0654</v>
      </c>
      <c r="H58" s="20" t="n">
        <v>0.7537</v>
      </c>
      <c r="I58" s="20" t="n">
        <v>-1.3042</v>
      </c>
      <c r="J58" s="20" t="n">
        <v>1.5052</v>
      </c>
      <c r="K58" s="20" t="n">
        <v>0.5155999999999999</v>
      </c>
      <c r="L58" s="20" t="n">
        <v>0.0989</v>
      </c>
      <c r="M58" s="20" t="n">
        <v>0.5908</v>
      </c>
      <c r="N58" s="20" t="n">
        <v>1.1882</v>
      </c>
      <c r="O58" s="20" t="n">
        <v>0.9877</v>
      </c>
      <c r="P58" s="20" t="n">
        <v>-0.0956</v>
      </c>
      <c r="Q58" s="20" t="n">
        <v>0.5465</v>
      </c>
    </row>
    <row r="59" ht="19" customHeight="1">
      <c r="A59" s="13" t="inlineStr">
        <is>
          <t>WINE-057</t>
        </is>
      </c>
      <c r="B59" s="19" t="n">
        <v>1.5063</v>
      </c>
      <c r="C59" s="19" t="n">
        <v>-0.5712</v>
      </c>
      <c r="D59" s="19" t="n">
        <v>-0.2431</v>
      </c>
      <c r="E59" s="19" t="n">
        <v>-0.9594</v>
      </c>
      <c r="F59" s="19" t="n">
        <v>1.282</v>
      </c>
      <c r="G59" s="19" t="n">
        <v>1.4499</v>
      </c>
      <c r="H59" s="19" t="n">
        <v>0.9746</v>
      </c>
      <c r="I59" s="19" t="n">
        <v>-0.8207</v>
      </c>
      <c r="J59" s="19" t="n">
        <v>0.7693</v>
      </c>
      <c r="K59" s="19" t="n">
        <v>0.5718</v>
      </c>
      <c r="L59" s="19" t="n">
        <v>-0.0766</v>
      </c>
      <c r="M59" s="19" t="n">
        <v>0.9863</v>
      </c>
      <c r="N59" s="19" t="n">
        <v>0.7105</v>
      </c>
      <c r="O59" s="19" t="n">
        <v>0.4059</v>
      </c>
      <c r="P59" s="19" t="n">
        <v>0.3163</v>
      </c>
      <c r="Q59" s="19" t="n">
        <v>-1.1925</v>
      </c>
    </row>
    <row r="60" ht="19" customHeight="1">
      <c r="A60" s="16" t="inlineStr">
        <is>
          <t>WINE-058</t>
        </is>
      </c>
      <c r="B60" s="20" t="n">
        <v>0.3575</v>
      </c>
      <c r="C60" s="20" t="n">
        <v>-0.3289</v>
      </c>
      <c r="D60" s="20" t="n">
        <v>1.1459</v>
      </c>
      <c r="E60" s="20" t="n">
        <v>-0.8093</v>
      </c>
      <c r="F60" s="20" t="n">
        <v>0.1586</v>
      </c>
      <c r="G60" s="20" t="n">
        <v>1.1295</v>
      </c>
      <c r="H60" s="20" t="n">
        <v>1.2055</v>
      </c>
      <c r="I60" s="20" t="n">
        <v>-0.4178</v>
      </c>
      <c r="J60" s="20" t="n">
        <v>0.1211</v>
      </c>
      <c r="K60" s="20" t="n">
        <v>0.4074</v>
      </c>
      <c r="L60" s="20" t="n">
        <v>0.4938</v>
      </c>
      <c r="M60" s="20" t="n">
        <v>0.3225</v>
      </c>
      <c r="N60" s="20" t="n">
        <v>1.6658</v>
      </c>
      <c r="O60" s="20" t="n">
        <v>-0.9903</v>
      </c>
      <c r="P60" s="20" t="n">
        <v>-1.1836</v>
      </c>
      <c r="Q60" s="20" t="n">
        <v>0.7709</v>
      </c>
    </row>
    <row r="61" ht="19" customHeight="1">
      <c r="A61" s="13" t="inlineStr">
        <is>
          <t>WINE-059</t>
        </is>
      </c>
      <c r="B61" s="19" t="n">
        <v>0.8885999999999999</v>
      </c>
      <c r="C61" s="19" t="n">
        <v>-0.8136</v>
      </c>
      <c r="D61" s="19" t="n">
        <v>0.4879</v>
      </c>
      <c r="E61" s="19" t="n">
        <v>-0.8393</v>
      </c>
      <c r="F61" s="19" t="n">
        <v>0.5799</v>
      </c>
      <c r="G61" s="19" t="n">
        <v>1.7704</v>
      </c>
      <c r="H61" s="19" t="n">
        <v>1.6472</v>
      </c>
      <c r="I61" s="19" t="n">
        <v>-1.3848</v>
      </c>
      <c r="J61" s="19" t="n">
        <v>0.7869</v>
      </c>
      <c r="K61" s="19" t="n">
        <v>0.7534999999999999</v>
      </c>
      <c r="L61" s="19" t="n">
        <v>-0.2959</v>
      </c>
      <c r="M61" s="19" t="n">
        <v>0.3649</v>
      </c>
      <c r="N61" s="19" t="n">
        <v>1.7136</v>
      </c>
      <c r="O61" s="19" t="n">
        <v>0.5223</v>
      </c>
      <c r="P61" s="19" t="n">
        <v>1.3344</v>
      </c>
      <c r="Q61" s="19" t="n">
        <v>-0.1828</v>
      </c>
    </row>
    <row r="62" ht="19" customHeight="1">
      <c r="A62" s="16" t="inlineStr">
        <is>
          <t>WINE-060</t>
        </is>
      </c>
      <c r="B62" s="20" t="n">
        <v>-0.779</v>
      </c>
      <c r="C62" s="20" t="n">
        <v>-1.2535</v>
      </c>
      <c r="D62" s="20" t="n">
        <v>-3.6792</v>
      </c>
      <c r="E62" s="20" t="n">
        <v>-2.671</v>
      </c>
      <c r="F62" s="20" t="n">
        <v>-0.8244</v>
      </c>
      <c r="G62" s="20" t="n">
        <v>-0.5049</v>
      </c>
      <c r="H62" s="20" t="n">
        <v>-1.4651</v>
      </c>
      <c r="I62" s="20" t="n">
        <v>-0.6596</v>
      </c>
      <c r="J62" s="20" t="n">
        <v>-2.0515</v>
      </c>
      <c r="K62" s="20" t="n">
        <v>-1.3445</v>
      </c>
      <c r="L62" s="20" t="n">
        <v>0.4061</v>
      </c>
      <c r="M62" s="20" t="n">
        <v>-1.1182</v>
      </c>
      <c r="N62" s="20" t="n">
        <v>-0.7225</v>
      </c>
      <c r="O62" s="20" t="n">
        <v>0.9295</v>
      </c>
      <c r="P62" s="20" t="n">
        <v>1.7696</v>
      </c>
      <c r="Q62" s="20" t="n">
        <v>-0.3511</v>
      </c>
    </row>
    <row r="63" ht="19" customHeight="1">
      <c r="A63" s="13" t="inlineStr">
        <is>
          <t>WINE-061</t>
        </is>
      </c>
      <c r="B63" s="19" t="n">
        <v>-0.8284</v>
      </c>
      <c r="C63" s="19" t="n">
        <v>-1.1098</v>
      </c>
      <c r="D63" s="19" t="n">
        <v>-0.3162</v>
      </c>
      <c r="E63" s="19" t="n">
        <v>-1.0495</v>
      </c>
      <c r="F63" s="19" t="n">
        <v>0.08840000000000001</v>
      </c>
      <c r="G63" s="19" t="n">
        <v>-0.3928</v>
      </c>
      <c r="H63" s="19" t="n">
        <v>-0.9429999999999999</v>
      </c>
      <c r="I63" s="19" t="n">
        <v>2.1607</v>
      </c>
      <c r="J63" s="19" t="n">
        <v>-2.069</v>
      </c>
      <c r="K63" s="19" t="n">
        <v>-0.7735</v>
      </c>
      <c r="L63" s="19" t="n">
        <v>1.2835</v>
      </c>
      <c r="M63" s="19" t="n">
        <v>-1.3301</v>
      </c>
      <c r="N63" s="19" t="n">
        <v>-0.213</v>
      </c>
      <c r="O63" s="19" t="n">
        <v>-0.234</v>
      </c>
      <c r="P63" s="19" t="n">
        <v>-0.1033</v>
      </c>
      <c r="Q63" s="19" t="n">
        <v>0.7709</v>
      </c>
    </row>
    <row r="64" ht="19" customHeight="1">
      <c r="A64" s="16" t="inlineStr">
        <is>
          <t>WINE-062</t>
        </is>
      </c>
      <c r="B64" s="20" t="n">
        <v>-0.4455</v>
      </c>
      <c r="C64" s="20" t="n">
        <v>-0.8764</v>
      </c>
      <c r="D64" s="20" t="n">
        <v>-1.2666</v>
      </c>
      <c r="E64" s="20" t="n">
        <v>-0.8093</v>
      </c>
      <c r="F64" s="20" t="n">
        <v>0.0181</v>
      </c>
      <c r="G64" s="20" t="n">
        <v>-0.4408</v>
      </c>
      <c r="H64" s="20" t="n">
        <v>-0.6217</v>
      </c>
      <c r="I64" s="20" t="n">
        <v>1.3549</v>
      </c>
      <c r="J64" s="20" t="n">
        <v>-1.7011</v>
      </c>
      <c r="K64" s="20" t="n">
        <v>0.2993</v>
      </c>
      <c r="L64" s="20" t="n">
        <v>0.0989</v>
      </c>
      <c r="M64" s="20" t="n">
        <v>-1.4431</v>
      </c>
      <c r="N64" s="20" t="n">
        <v>-0.9455</v>
      </c>
      <c r="O64" s="20" t="n">
        <v>0.5223</v>
      </c>
      <c r="P64" s="20" t="n">
        <v>2.6945</v>
      </c>
      <c r="Q64" s="20" t="n">
        <v>0.4904</v>
      </c>
    </row>
    <row r="65" ht="19" customHeight="1">
      <c r="A65" s="13" t="inlineStr">
        <is>
          <t>WINE-063</t>
        </is>
      </c>
      <c r="B65" s="19" t="n">
        <v>0.8269</v>
      </c>
      <c r="C65" s="19" t="n">
        <v>-0.9752</v>
      </c>
      <c r="D65" s="19" t="n">
        <v>-1.6322</v>
      </c>
      <c r="E65" s="19" t="n">
        <v>-0.4489</v>
      </c>
      <c r="F65" s="19" t="n">
        <v>-0.4031</v>
      </c>
      <c r="G65" s="19" t="n">
        <v>-0.3126</v>
      </c>
      <c r="H65" s="19" t="n">
        <v>-0.2402</v>
      </c>
      <c r="I65" s="19" t="n">
        <v>-0.3373</v>
      </c>
      <c r="J65" s="19" t="n">
        <v>-1.5084</v>
      </c>
      <c r="K65" s="19" t="n">
        <v>-0.5442</v>
      </c>
      <c r="L65" s="19" t="n">
        <v>1.1958</v>
      </c>
      <c r="M65" s="19" t="n">
        <v>-0.2142</v>
      </c>
      <c r="N65" s="19" t="n">
        <v>-0.3722</v>
      </c>
      <c r="O65" s="19" t="n">
        <v>0.5223</v>
      </c>
      <c r="P65" s="19" t="n">
        <v>2.1194</v>
      </c>
      <c r="Q65" s="19" t="n">
        <v>-0.295</v>
      </c>
    </row>
    <row r="66" ht="19" customHeight="1">
      <c r="A66" s="16" t="inlineStr">
        <is>
          <t>WINE-064</t>
        </is>
      </c>
      <c r="B66" s="20" t="n">
        <v>-0.779</v>
      </c>
      <c r="C66" s="20" t="n">
        <v>-1.0829</v>
      </c>
      <c r="D66" s="20" t="n">
        <v>-0.7549</v>
      </c>
      <c r="E66" s="20" t="n">
        <v>-0.1486</v>
      </c>
      <c r="F66" s="20" t="n">
        <v>-0.8946</v>
      </c>
      <c r="G66" s="20" t="n">
        <v>1.9306</v>
      </c>
      <c r="H66" s="20" t="n">
        <v>1.075</v>
      </c>
      <c r="I66" s="20" t="n">
        <v>-1.3848</v>
      </c>
      <c r="J66" s="20" t="n">
        <v>0.489</v>
      </c>
      <c r="K66" s="20" t="n">
        <v>-0.263</v>
      </c>
      <c r="L66" s="20" t="n">
        <v>1.1519</v>
      </c>
      <c r="M66" s="20" t="n">
        <v>0.3649</v>
      </c>
      <c r="N66" s="20" t="n">
        <v>-1.041</v>
      </c>
      <c r="O66" s="20" t="n">
        <v>-0.4667</v>
      </c>
      <c r="P66" s="20" t="n">
        <v>0.4718</v>
      </c>
      <c r="Q66" s="20" t="n">
        <v>1.2196</v>
      </c>
    </row>
    <row r="67" ht="19" customHeight="1">
      <c r="A67" s="13" t="inlineStr">
        <is>
          <t>WINE-065</t>
        </is>
      </c>
      <c r="B67" s="19" t="n">
        <v>-1.026</v>
      </c>
      <c r="C67" s="19" t="n">
        <v>-0.7956</v>
      </c>
      <c r="D67" s="19" t="n">
        <v>0.5976</v>
      </c>
      <c r="E67" s="19" t="n">
        <v>-0.1486</v>
      </c>
      <c r="F67" s="19" t="n">
        <v>0.299</v>
      </c>
      <c r="G67" s="19" t="n">
        <v>-0.6491</v>
      </c>
      <c r="H67" s="19" t="n">
        <v>-0.2804</v>
      </c>
      <c r="I67" s="19" t="n">
        <v>0.7103</v>
      </c>
      <c r="J67" s="19" t="n">
        <v>-0.9827</v>
      </c>
      <c r="K67" s="19" t="n">
        <v>-0.9119</v>
      </c>
      <c r="L67" s="19" t="n">
        <v>2.161</v>
      </c>
      <c r="M67" s="19" t="n">
        <v>-0.5391</v>
      </c>
      <c r="N67" s="19" t="n">
        <v>-1.248</v>
      </c>
      <c r="O67" s="19" t="n">
        <v>0.6385999999999999</v>
      </c>
      <c r="P67" s="19" t="n">
        <v>1.4743</v>
      </c>
      <c r="Q67" s="19" t="n">
        <v>-1.0242</v>
      </c>
    </row>
    <row r="68" ht="19" customHeight="1">
      <c r="A68" s="16" t="inlineStr">
        <is>
          <t>WINE-066</t>
        </is>
      </c>
      <c r="B68" s="20" t="n">
        <v>-0.779</v>
      </c>
      <c r="C68" s="20" t="n">
        <v>-1.0111</v>
      </c>
      <c r="D68" s="20" t="n">
        <v>0.7072000000000001</v>
      </c>
      <c r="E68" s="20" t="n">
        <v>-0.4189</v>
      </c>
      <c r="F68" s="20" t="n">
        <v>-0.1223</v>
      </c>
      <c r="G68" s="20" t="n">
        <v>0.2001</v>
      </c>
      <c r="H68" s="20" t="n">
        <v>0.6232</v>
      </c>
      <c r="I68" s="20" t="n">
        <v>0.06560000000000001</v>
      </c>
      <c r="J68" s="20" t="n">
        <v>0.8569</v>
      </c>
      <c r="K68" s="20" t="n">
        <v>-0.1982</v>
      </c>
      <c r="L68" s="20" t="n">
        <v>1.0203</v>
      </c>
      <c r="M68" s="20" t="n">
        <v>-0.4402</v>
      </c>
      <c r="N68" s="20" t="n">
        <v>-0.2194</v>
      </c>
      <c r="O68" s="20" t="n">
        <v>0.9295</v>
      </c>
      <c r="P68" s="20" t="n">
        <v>1.008</v>
      </c>
      <c r="Q68" s="20" t="n">
        <v>0.6587</v>
      </c>
    </row>
    <row r="69" ht="19" customHeight="1">
      <c r="A69" s="13" t="inlineStr">
        <is>
          <t>WINE-067</t>
        </is>
      </c>
      <c r="B69" s="19" t="n">
        <v>0.1351</v>
      </c>
      <c r="C69" s="19" t="n">
        <v>-1.1906</v>
      </c>
      <c r="D69" s="19" t="n">
        <v>-2.4363</v>
      </c>
      <c r="E69" s="19" t="n">
        <v>-1.3498</v>
      </c>
      <c r="F69" s="19" t="n">
        <v>-1.5265</v>
      </c>
      <c r="G69" s="19" t="n">
        <v>1.0974</v>
      </c>
      <c r="H69" s="19" t="n">
        <v>1.1553</v>
      </c>
      <c r="I69" s="19" t="n">
        <v>-0.8207</v>
      </c>
      <c r="J69" s="19" t="n">
        <v>1.2074</v>
      </c>
      <c r="K69" s="19" t="n">
        <v>0.1046</v>
      </c>
      <c r="L69" s="19" t="n">
        <v>0.7131999999999999</v>
      </c>
      <c r="M69" s="19" t="n">
        <v>0.8027</v>
      </c>
      <c r="N69" s="19" t="n">
        <v>-0.7799</v>
      </c>
      <c r="O69" s="19" t="n">
        <v>1.5112</v>
      </c>
      <c r="P69" s="19" t="n">
        <v>-1.2613</v>
      </c>
      <c r="Q69" s="19" t="n">
        <v>0.6587</v>
      </c>
    </row>
    <row r="70" ht="19" customHeight="1">
      <c r="A70" s="16" t="inlineStr">
        <is>
          <t>WINE-068</t>
        </is>
      </c>
      <c r="B70" s="20" t="n">
        <v>-0.779</v>
      </c>
      <c r="C70" s="20" t="n">
        <v>-1.047</v>
      </c>
      <c r="D70" s="20" t="n">
        <v>-1.6322</v>
      </c>
      <c r="E70" s="20" t="n">
        <v>0.0315</v>
      </c>
      <c r="F70" s="20" t="n">
        <v>-1.5265</v>
      </c>
      <c r="G70" s="20" t="n">
        <v>-0.2966</v>
      </c>
      <c r="H70" s="20" t="n">
        <v>-0.0294</v>
      </c>
      <c r="I70" s="20" t="n">
        <v>-0.7401</v>
      </c>
      <c r="J70" s="20" t="n">
        <v>-0.9651999999999999</v>
      </c>
      <c r="K70" s="20" t="n">
        <v>-0.1636</v>
      </c>
      <c r="L70" s="20" t="n">
        <v>0.7131999999999999</v>
      </c>
      <c r="M70" s="20" t="n">
        <v>1.2264</v>
      </c>
      <c r="N70" s="20" t="n">
        <v>-0.7544</v>
      </c>
      <c r="O70" s="20" t="n">
        <v>1.3949</v>
      </c>
      <c r="P70" s="20" t="n">
        <v>-0.4375</v>
      </c>
      <c r="Q70" s="20" t="n">
        <v>-0.295</v>
      </c>
    </row>
    <row r="71" ht="19" customHeight="1">
      <c r="A71" s="13" t="inlineStr">
        <is>
          <t>WINE-069</t>
        </is>
      </c>
      <c r="B71" s="19" t="n">
        <v>0.4192</v>
      </c>
      <c r="C71" s="19" t="n">
        <v>-1.2535</v>
      </c>
      <c r="D71" s="19" t="n">
        <v>-0.0238</v>
      </c>
      <c r="E71" s="19" t="n">
        <v>-0.7492</v>
      </c>
      <c r="F71" s="19" t="n">
        <v>0.7203000000000001</v>
      </c>
      <c r="G71" s="19" t="n">
        <v>0.3764</v>
      </c>
      <c r="H71" s="19" t="n">
        <v>-0.7322</v>
      </c>
      <c r="I71" s="19" t="n">
        <v>1.516</v>
      </c>
      <c r="J71" s="19" t="n">
        <v>-2.0515</v>
      </c>
      <c r="K71" s="19" t="n">
        <v>-0.8167</v>
      </c>
      <c r="L71" s="19" t="n">
        <v>0.2744</v>
      </c>
      <c r="M71" s="19" t="n">
        <v>-0.9628</v>
      </c>
      <c r="N71" s="19" t="n">
        <v>0.009900000000000001</v>
      </c>
      <c r="O71" s="19" t="n">
        <v>-0.5831</v>
      </c>
      <c r="P71" s="19" t="n">
        <v>0.5572</v>
      </c>
      <c r="Q71" s="19" t="n">
        <v>0.3782</v>
      </c>
    </row>
    <row r="72" ht="19" customHeight="1">
      <c r="A72" s="16" t="inlineStr">
        <is>
          <t>WINE-070</t>
        </is>
      </c>
      <c r="B72" s="20" t="n">
        <v>-0.9766</v>
      </c>
      <c r="C72" s="20" t="n">
        <v>-1.029</v>
      </c>
      <c r="D72" s="20" t="n">
        <v>-2.2536</v>
      </c>
      <c r="E72" s="20" t="n">
        <v>-0.8093</v>
      </c>
      <c r="F72" s="20" t="n">
        <v>3.599</v>
      </c>
      <c r="G72" s="20" t="n">
        <v>-0.7131999999999999</v>
      </c>
      <c r="H72" s="20" t="n">
        <v>-0.7522</v>
      </c>
      <c r="I72" s="20" t="n">
        <v>-1.7877</v>
      </c>
      <c r="J72" s="20" t="n">
        <v>1.5928</v>
      </c>
      <c r="K72" s="20" t="n">
        <v>-0.9552</v>
      </c>
      <c r="L72" s="20" t="n">
        <v>1.4151</v>
      </c>
      <c r="M72" s="20" t="n">
        <v>0.6473</v>
      </c>
      <c r="N72" s="20" t="n">
        <v>-0.092</v>
      </c>
      <c r="O72" s="20" t="n">
        <v>-0.3504</v>
      </c>
      <c r="P72" s="20" t="n">
        <v>1.9017</v>
      </c>
      <c r="Q72" s="20" t="n">
        <v>-1.2486</v>
      </c>
    </row>
    <row r="73" ht="19" customHeight="1">
      <c r="A73" s="13" t="inlineStr">
        <is>
          <t>WINE-071</t>
        </is>
      </c>
      <c r="B73" s="19" t="n">
        <v>-0.8778</v>
      </c>
      <c r="C73" s="19" t="n">
        <v>-0.652</v>
      </c>
      <c r="D73" s="19" t="n">
        <v>-0.5721000000000001</v>
      </c>
      <c r="E73" s="19" t="n">
        <v>0.2718</v>
      </c>
      <c r="F73" s="19" t="n">
        <v>0.2288</v>
      </c>
      <c r="G73" s="19" t="n">
        <v>-1.915</v>
      </c>
      <c r="H73" s="19" t="n">
        <v>-1.0133</v>
      </c>
      <c r="I73" s="19" t="n">
        <v>0.06560000000000001</v>
      </c>
      <c r="J73" s="19" t="n">
        <v>-0.2293</v>
      </c>
      <c r="K73" s="19" t="n">
        <v>-0.8686</v>
      </c>
      <c r="L73" s="19" t="n">
        <v>-0.2257</v>
      </c>
      <c r="M73" s="19" t="n">
        <v>-1.1182</v>
      </c>
      <c r="N73" s="19" t="n">
        <v>0.392</v>
      </c>
      <c r="O73" s="19" t="n">
        <v>0.755</v>
      </c>
      <c r="P73" s="19" t="n">
        <v>-1.1214</v>
      </c>
      <c r="Q73" s="19" t="n">
        <v>0.9952</v>
      </c>
    </row>
    <row r="74" ht="19" customHeight="1">
      <c r="A74" s="16" t="inlineStr">
        <is>
          <t>WINE-072</t>
        </is>
      </c>
      <c r="B74" s="20" t="n">
        <v>1.0616</v>
      </c>
      <c r="C74" s="20" t="n">
        <v>-0.7418</v>
      </c>
      <c r="D74" s="20" t="n">
        <v>1.1093</v>
      </c>
      <c r="E74" s="20" t="n">
        <v>1.6531</v>
      </c>
      <c r="F74" s="20" t="n">
        <v>-0.9648</v>
      </c>
      <c r="G74" s="20" t="n">
        <v>1.0493</v>
      </c>
      <c r="H74" s="20" t="n">
        <v>0.834</v>
      </c>
      <c r="I74" s="20" t="n">
        <v>-1.2236</v>
      </c>
      <c r="J74" s="20" t="n">
        <v>0.489</v>
      </c>
      <c r="K74" s="20" t="n">
        <v>-0.7259</v>
      </c>
      <c r="L74" s="20" t="n">
        <v>1.7661</v>
      </c>
      <c r="M74" s="20" t="n">
        <v>0.7745</v>
      </c>
      <c r="N74" s="20" t="n">
        <v>-1.0728</v>
      </c>
      <c r="O74" s="20" t="n">
        <v>0.755</v>
      </c>
      <c r="P74" s="20" t="n">
        <v>-1.2458</v>
      </c>
      <c r="Q74" s="20" t="n">
        <v>-0.1267</v>
      </c>
    </row>
    <row r="75" ht="19" customHeight="1">
      <c r="A75" s="13" t="inlineStr">
        <is>
          <t>WINE-073</t>
        </is>
      </c>
      <c r="B75" s="19" t="n">
        <v>0.6045</v>
      </c>
      <c r="C75" s="19" t="n">
        <v>-0.6071</v>
      </c>
      <c r="D75" s="19" t="n">
        <v>-0.4625</v>
      </c>
      <c r="E75" s="19" t="n">
        <v>1.3528</v>
      </c>
      <c r="F75" s="19" t="n">
        <v>-0.8946</v>
      </c>
      <c r="G75" s="19" t="n">
        <v>-0.6651</v>
      </c>
      <c r="H75" s="19" t="n">
        <v>-0.19</v>
      </c>
      <c r="I75" s="19" t="n">
        <v>-0.7401</v>
      </c>
      <c r="J75" s="19" t="n">
        <v>-0.9827</v>
      </c>
      <c r="K75" s="19" t="n">
        <v>-0.5702</v>
      </c>
      <c r="L75" s="19" t="n">
        <v>0.0989</v>
      </c>
      <c r="M75" s="19" t="n">
        <v>0.2377</v>
      </c>
      <c r="N75" s="19" t="n">
        <v>-0.8754</v>
      </c>
      <c r="O75" s="19" t="n">
        <v>0.6968</v>
      </c>
      <c r="P75" s="19" t="n">
        <v>-0.2588</v>
      </c>
      <c r="Q75" s="19" t="n">
        <v>-0.4633</v>
      </c>
    </row>
    <row r="76" ht="19" customHeight="1">
      <c r="A76" s="16" t="inlineStr">
        <is>
          <t>WINE-074</t>
        </is>
      </c>
      <c r="B76" s="20" t="n">
        <v>-0.0131</v>
      </c>
      <c r="C76" s="20" t="n">
        <v>-0.5982</v>
      </c>
      <c r="D76" s="20" t="n">
        <v>0.8535</v>
      </c>
      <c r="E76" s="20" t="n">
        <v>3.1545</v>
      </c>
      <c r="F76" s="20" t="n">
        <v>2.7565</v>
      </c>
      <c r="G76" s="20" t="n">
        <v>1.6102</v>
      </c>
      <c r="H76" s="20" t="n">
        <v>0.8641</v>
      </c>
      <c r="I76" s="20" t="n">
        <v>-1.2236</v>
      </c>
      <c r="J76" s="20" t="n">
        <v>0.6467000000000001</v>
      </c>
      <c r="K76" s="20" t="n">
        <v>-0.7389</v>
      </c>
      <c r="L76" s="20" t="n">
        <v>1.5468</v>
      </c>
      <c r="M76" s="20" t="n">
        <v>1.2547</v>
      </c>
      <c r="N76" s="20" t="n">
        <v>0.7582</v>
      </c>
      <c r="O76" s="20" t="n">
        <v>3.6055</v>
      </c>
      <c r="P76" s="20" t="n">
        <v>-1.3546</v>
      </c>
      <c r="Q76" s="20" t="n">
        <v>1.1074</v>
      </c>
    </row>
    <row r="77" ht="19" customHeight="1">
      <c r="A77" s="13" t="inlineStr">
        <is>
          <t>WINE-075</t>
        </is>
      </c>
      <c r="B77" s="19" t="n">
        <v>-1.2854</v>
      </c>
      <c r="C77" s="19" t="n">
        <v>-1.1188</v>
      </c>
      <c r="D77" s="19" t="n">
        <v>-0.2431</v>
      </c>
      <c r="E77" s="19" t="n">
        <v>0.4519</v>
      </c>
      <c r="F77" s="19" t="n">
        <v>0.08840000000000001</v>
      </c>
      <c r="G77" s="19" t="n">
        <v>1.7383</v>
      </c>
      <c r="H77" s="19" t="n">
        <v>0.1112</v>
      </c>
      <c r="I77" s="19" t="n">
        <v>-1.8682</v>
      </c>
      <c r="J77" s="19" t="n">
        <v>0.1036</v>
      </c>
      <c r="K77" s="19" t="n">
        <v>-0.7994</v>
      </c>
      <c r="L77" s="19" t="n">
        <v>0.1428</v>
      </c>
      <c r="M77" s="19" t="n">
        <v>0.7321</v>
      </c>
      <c r="N77" s="19" t="n">
        <v>0.443</v>
      </c>
      <c r="O77" s="19" t="n">
        <v>1.0458</v>
      </c>
      <c r="P77" s="19" t="n">
        <v>-0.2899</v>
      </c>
      <c r="Q77" s="19" t="n">
        <v>-0.6877</v>
      </c>
    </row>
    <row r="78" ht="19" customHeight="1">
      <c r="A78" s="16" t="inlineStr">
        <is>
          <t>WINE-076</t>
        </is>
      </c>
      <c r="B78" s="20" t="n">
        <v>-1.656</v>
      </c>
      <c r="C78" s="20" t="n">
        <v>-0.4096</v>
      </c>
      <c r="D78" s="20" t="n">
        <v>-1.6322</v>
      </c>
      <c r="E78" s="20" t="n">
        <v>-1.0495</v>
      </c>
      <c r="F78" s="20" t="n">
        <v>-0.1925</v>
      </c>
      <c r="G78" s="20" t="n">
        <v>-1.0978</v>
      </c>
      <c r="H78" s="20" t="n">
        <v>-0.4611</v>
      </c>
      <c r="I78" s="20" t="n">
        <v>-0.1761</v>
      </c>
      <c r="J78" s="20" t="n">
        <v>-0.7725</v>
      </c>
      <c r="K78" s="20" t="n">
        <v>-0.5442</v>
      </c>
      <c r="L78" s="20" t="n">
        <v>1.1958</v>
      </c>
      <c r="M78" s="20" t="n">
        <v>-0.6662</v>
      </c>
      <c r="N78" s="20" t="n">
        <v>-1.0155</v>
      </c>
      <c r="O78" s="20" t="n">
        <v>1.1622</v>
      </c>
      <c r="P78" s="20" t="n">
        <v>0.1531</v>
      </c>
      <c r="Q78" s="20" t="n">
        <v>-1.3608</v>
      </c>
    </row>
    <row r="79" ht="19" customHeight="1">
      <c r="A79" s="13" t="inlineStr">
        <is>
          <t>WINE-077</t>
        </is>
      </c>
      <c r="B79" s="19" t="n">
        <v>0.0363</v>
      </c>
      <c r="C79" s="19" t="n">
        <v>-1.2894</v>
      </c>
      <c r="D79" s="19" t="n">
        <v>-2.3998</v>
      </c>
      <c r="E79" s="19" t="n">
        <v>-1.0495</v>
      </c>
      <c r="F79" s="19" t="n">
        <v>-0.9648</v>
      </c>
      <c r="G79" s="19" t="n">
        <v>-0.553</v>
      </c>
      <c r="H79" s="19" t="n">
        <v>0.0007</v>
      </c>
      <c r="I79" s="19" t="n">
        <v>-0.9819</v>
      </c>
      <c r="J79" s="19" t="n">
        <v>-0.2293</v>
      </c>
      <c r="K79" s="19" t="n">
        <v>-0.1982</v>
      </c>
      <c r="L79" s="19" t="n">
        <v>1.0203</v>
      </c>
      <c r="M79" s="19" t="n">
        <v>-0.186</v>
      </c>
      <c r="N79" s="19" t="n">
        <v>-1.1302</v>
      </c>
      <c r="O79" s="19" t="n">
        <v>1.4531</v>
      </c>
      <c r="P79" s="19" t="n">
        <v>-0.8961</v>
      </c>
      <c r="Q79" s="19" t="n">
        <v>-1.5291</v>
      </c>
    </row>
    <row r="80" ht="19" customHeight="1">
      <c r="A80" s="16" t="inlineStr">
        <is>
          <t>WINE-078</t>
        </is>
      </c>
      <c r="B80" s="20" t="n">
        <v>-1.4337</v>
      </c>
      <c r="C80" s="20" t="n">
        <v>0.497</v>
      </c>
      <c r="D80" s="20" t="n">
        <v>-0.499</v>
      </c>
      <c r="E80" s="20" t="n">
        <v>-0.4489</v>
      </c>
      <c r="F80" s="20" t="n">
        <v>0.8607</v>
      </c>
      <c r="G80" s="20" t="n">
        <v>-0.9215</v>
      </c>
      <c r="H80" s="20" t="n">
        <v>-0.7121</v>
      </c>
      <c r="I80" s="20" t="n">
        <v>0.5491</v>
      </c>
      <c r="J80" s="20" t="n">
        <v>-1.1229</v>
      </c>
      <c r="K80" s="20" t="n">
        <v>-1.0417</v>
      </c>
      <c r="L80" s="20" t="n">
        <v>0.0112</v>
      </c>
      <c r="M80" s="20" t="n">
        <v>-0.1295</v>
      </c>
      <c r="N80" s="20" t="n">
        <v>-0.7862</v>
      </c>
      <c r="O80" s="20" t="n">
        <v>0.2314</v>
      </c>
      <c r="P80" s="20" t="n">
        <v>-0.2666</v>
      </c>
      <c r="Q80" s="20" t="n">
        <v>0.6587</v>
      </c>
    </row>
    <row r="81" ht="19" customHeight="1">
      <c r="A81" s="13" t="inlineStr">
        <is>
          <t>WINE-079</t>
        </is>
      </c>
      <c r="B81" s="19" t="n">
        <v>-0.8284</v>
      </c>
      <c r="C81" s="19" t="n">
        <v>-1.2086</v>
      </c>
      <c r="D81" s="19" t="n">
        <v>-1.5225</v>
      </c>
      <c r="E81" s="19" t="n">
        <v>-1.4098</v>
      </c>
      <c r="F81" s="19" t="n">
        <v>2.5458</v>
      </c>
      <c r="G81" s="19" t="n">
        <v>-0.6331</v>
      </c>
      <c r="H81" s="19" t="n">
        <v>-0.18</v>
      </c>
      <c r="I81" s="19" t="n">
        <v>-0.0955</v>
      </c>
      <c r="J81" s="19" t="n">
        <v>2.0484</v>
      </c>
      <c r="K81" s="19" t="n">
        <v>-0.7171999999999999</v>
      </c>
      <c r="L81" s="19" t="n">
        <v>0.4499</v>
      </c>
      <c r="M81" s="19" t="n">
        <v>-0.4261</v>
      </c>
      <c r="N81" s="19" t="n">
        <v>0.009900000000000001</v>
      </c>
      <c r="O81" s="19" t="n">
        <v>0.2896</v>
      </c>
      <c r="P81" s="19" t="n">
        <v>0.8681</v>
      </c>
      <c r="Q81" s="19" t="n">
        <v>-1.2486</v>
      </c>
    </row>
    <row r="82" ht="19" customHeight="1">
      <c r="A82" s="16" t="inlineStr">
        <is>
          <t>WINE-080</t>
        </is>
      </c>
      <c r="B82" s="20" t="n">
        <v>-0.3713</v>
      </c>
      <c r="C82" s="20" t="n">
        <v>1.3767</v>
      </c>
      <c r="D82" s="20" t="n">
        <v>0.1224</v>
      </c>
      <c r="E82" s="20" t="n">
        <v>1.0525</v>
      </c>
      <c r="F82" s="20" t="n">
        <v>0.08840000000000001</v>
      </c>
      <c r="G82" s="20" t="n">
        <v>0.8571</v>
      </c>
      <c r="H82" s="20" t="n">
        <v>0.5228</v>
      </c>
      <c r="I82" s="20" t="n">
        <v>0.5491</v>
      </c>
      <c r="J82" s="20" t="n">
        <v>0.6292</v>
      </c>
      <c r="K82" s="20" t="n">
        <v>-1.0763</v>
      </c>
      <c r="L82" s="20" t="n">
        <v>1.0203</v>
      </c>
      <c r="M82" s="20" t="n">
        <v>0.7321</v>
      </c>
      <c r="N82" s="20" t="n">
        <v>-0.9041</v>
      </c>
      <c r="O82" s="20" t="n">
        <v>-0.1177</v>
      </c>
      <c r="P82" s="20" t="n">
        <v>-0.6395999999999999</v>
      </c>
      <c r="Q82" s="20" t="n">
        <v>1.8367</v>
      </c>
    </row>
    <row r="83" ht="19" customHeight="1">
      <c r="A83" s="13" t="inlineStr">
        <is>
          <t>WINE-081</t>
        </is>
      </c>
      <c r="B83" s="19" t="n">
        <v>-1.236</v>
      </c>
      <c r="C83" s="19" t="n">
        <v>-1.2714</v>
      </c>
      <c r="D83" s="19" t="n">
        <v>-1.3397</v>
      </c>
      <c r="E83" s="19" t="n">
        <v>-0.1486</v>
      </c>
      <c r="F83" s="19" t="n">
        <v>-0.9648</v>
      </c>
      <c r="G83" s="19" t="n">
        <v>0.2001</v>
      </c>
      <c r="H83" s="19" t="n">
        <v>0.2316</v>
      </c>
      <c r="I83" s="19" t="n">
        <v>-0.4984</v>
      </c>
      <c r="J83" s="19" t="n">
        <v>-0.2819</v>
      </c>
      <c r="K83" s="19" t="n">
        <v>-1.1066</v>
      </c>
      <c r="L83" s="19" t="n">
        <v>1.8539</v>
      </c>
      <c r="M83" s="19" t="n">
        <v>0.718</v>
      </c>
      <c r="N83" s="19" t="n">
        <v>-1.4932</v>
      </c>
      <c r="O83" s="19" t="n">
        <v>-0.0595</v>
      </c>
      <c r="P83" s="19" t="n">
        <v>-0.8106</v>
      </c>
      <c r="Q83" s="19" t="n">
        <v>-2.034</v>
      </c>
    </row>
    <row r="84" ht="19" customHeight="1">
      <c r="A84" s="16" t="inlineStr">
        <is>
          <t>WINE-082</t>
        </is>
      </c>
      <c r="B84" s="20" t="n">
        <v>-0.3466</v>
      </c>
      <c r="C84" s="20" t="n">
        <v>-0.4725</v>
      </c>
      <c r="D84" s="20" t="n">
        <v>-0.6087</v>
      </c>
      <c r="E84" s="20" t="n">
        <v>-0.2087</v>
      </c>
      <c r="F84" s="20" t="n">
        <v>-0.9648</v>
      </c>
      <c r="G84" s="20" t="n">
        <v>-0.1524</v>
      </c>
      <c r="H84" s="20" t="n">
        <v>0.5027</v>
      </c>
      <c r="I84" s="20" t="n">
        <v>-0.8207</v>
      </c>
      <c r="J84" s="20" t="n">
        <v>0.3138</v>
      </c>
      <c r="K84" s="20" t="n">
        <v>-0.501</v>
      </c>
      <c r="L84" s="20" t="n">
        <v>0.8887</v>
      </c>
      <c r="M84" s="20" t="n">
        <v>0.7462</v>
      </c>
      <c r="N84" s="20" t="n">
        <v>-0.1047</v>
      </c>
      <c r="O84" s="20" t="n">
        <v>-0.0013</v>
      </c>
      <c r="P84" s="20" t="n">
        <v>-0.3054</v>
      </c>
      <c r="Q84" s="20" t="n">
        <v>1.7806</v>
      </c>
    </row>
    <row r="85" ht="19" customHeight="1">
      <c r="A85" s="13" t="inlineStr">
        <is>
          <t>WINE-083</t>
        </is>
      </c>
      <c r="B85" s="19" t="n">
        <v>-1.1372</v>
      </c>
      <c r="C85" s="19" t="n">
        <v>-1.0829</v>
      </c>
      <c r="D85" s="19" t="n">
        <v>0.5245</v>
      </c>
      <c r="E85" s="19" t="n">
        <v>1.3528</v>
      </c>
      <c r="F85" s="19" t="n">
        <v>-1.5265</v>
      </c>
      <c r="G85" s="19" t="n">
        <v>-0.4729</v>
      </c>
      <c r="H85" s="19" t="n">
        <v>-0.4511</v>
      </c>
      <c r="I85" s="19" t="n">
        <v>0.3074</v>
      </c>
      <c r="J85" s="19" t="n">
        <v>-0.3345</v>
      </c>
      <c r="K85" s="19" t="n">
        <v>-1.2363</v>
      </c>
      <c r="L85" s="19" t="n">
        <v>1.5468</v>
      </c>
      <c r="M85" s="19" t="n">
        <v>0.153</v>
      </c>
      <c r="N85" s="19" t="n">
        <v>-0.3722</v>
      </c>
      <c r="O85" s="19" t="n">
        <v>0.0569</v>
      </c>
      <c r="P85" s="19" t="n">
        <v>-0.9505</v>
      </c>
      <c r="Q85" s="19" t="n">
        <v>0.266</v>
      </c>
    </row>
    <row r="86" ht="19" customHeight="1">
      <c r="A86" s="16" t="inlineStr">
        <is>
          <t>WINE-084</t>
        </is>
      </c>
      <c r="B86" s="20" t="n">
        <v>0.061</v>
      </c>
      <c r="C86" s="20" t="n">
        <v>1.3677</v>
      </c>
      <c r="D86" s="20" t="n">
        <v>-0.17</v>
      </c>
      <c r="E86" s="20" t="n">
        <v>0.9024</v>
      </c>
      <c r="F86" s="20" t="n">
        <v>-1.0351</v>
      </c>
      <c r="G86" s="20" t="n">
        <v>-1.0337</v>
      </c>
      <c r="H86" s="20" t="n">
        <v>-0.441</v>
      </c>
      <c r="I86" s="20" t="n">
        <v>1.9995</v>
      </c>
      <c r="J86" s="20" t="n">
        <v>0.051</v>
      </c>
      <c r="K86" s="20" t="n">
        <v>-0.1116</v>
      </c>
      <c r="L86" s="20" t="n">
        <v>-0.5153</v>
      </c>
      <c r="M86" s="20" t="n">
        <v>-0.8498</v>
      </c>
      <c r="N86" s="20" t="n">
        <v>-0.7385</v>
      </c>
      <c r="O86" s="20" t="n">
        <v>-0.6994</v>
      </c>
      <c r="P86" s="20" t="n">
        <v>2.5079</v>
      </c>
      <c r="Q86" s="20" t="n">
        <v>-0.0706</v>
      </c>
    </row>
    <row r="87" ht="19" customHeight="1">
      <c r="A87" s="13" t="inlineStr">
        <is>
          <t>WINE-085</t>
        </is>
      </c>
      <c r="B87" s="19" t="n">
        <v>-1.4337</v>
      </c>
      <c r="C87" s="19" t="n">
        <v>-1.2983</v>
      </c>
      <c r="D87" s="19" t="n">
        <v>0.7804</v>
      </c>
      <c r="E87" s="19" t="n">
        <v>-0.4489</v>
      </c>
      <c r="F87" s="19" t="n">
        <v>-0.4031</v>
      </c>
      <c r="G87" s="19" t="n">
        <v>-0.1524</v>
      </c>
      <c r="H87" s="19" t="n">
        <v>0.1814</v>
      </c>
      <c r="I87" s="19" t="n">
        <v>-1.143</v>
      </c>
      <c r="J87" s="19" t="n">
        <v>1.33</v>
      </c>
      <c r="K87" s="19" t="n">
        <v>-0.8686</v>
      </c>
      <c r="L87" s="19" t="n">
        <v>-0.7347</v>
      </c>
      <c r="M87" s="19" t="n">
        <v>0.6615</v>
      </c>
      <c r="N87" s="19" t="n">
        <v>-0.7225</v>
      </c>
      <c r="O87" s="19" t="n">
        <v>2.6166</v>
      </c>
      <c r="P87" s="19" t="n">
        <v>-0.1733</v>
      </c>
      <c r="Q87" s="19" t="n">
        <v>-0.5194</v>
      </c>
    </row>
    <row r="88" ht="19" customHeight="1">
      <c r="A88" s="16" t="inlineStr">
        <is>
          <t>WINE-086</t>
        </is>
      </c>
      <c r="B88" s="20" t="n">
        <v>-0.4084</v>
      </c>
      <c r="C88" s="20" t="n">
        <v>-1.2175</v>
      </c>
      <c r="D88" s="20" t="n">
        <v>-0.4625</v>
      </c>
      <c r="E88" s="20" t="n">
        <v>-0.4489</v>
      </c>
      <c r="F88" s="20" t="n">
        <v>-0.0521</v>
      </c>
      <c r="G88" s="20" t="n">
        <v>-0.1524</v>
      </c>
      <c r="H88" s="20" t="n">
        <v>-0.0896</v>
      </c>
      <c r="I88" s="20" t="n">
        <v>-0.4984</v>
      </c>
      <c r="J88" s="20" t="n">
        <v>-0.2293</v>
      </c>
      <c r="K88" s="20" t="n">
        <v>-1.0546</v>
      </c>
      <c r="L88" s="20" t="n">
        <v>1.1958</v>
      </c>
      <c r="M88" s="20" t="n">
        <v>0.7745</v>
      </c>
      <c r="N88" s="20" t="n">
        <v>-0.9455</v>
      </c>
      <c r="O88" s="20" t="n">
        <v>-1.0485</v>
      </c>
      <c r="P88" s="20" t="n">
        <v>-0.7562</v>
      </c>
      <c r="Q88" s="20" t="n">
        <v>0.4343</v>
      </c>
    </row>
    <row r="89" ht="19" customHeight="1">
      <c r="A89" s="13" t="inlineStr">
        <is>
          <t>WINE-087</t>
        </is>
      </c>
      <c r="B89" s="19" t="n">
        <v>-1.0384</v>
      </c>
      <c r="C89" s="19" t="n">
        <v>-0.652</v>
      </c>
      <c r="D89" s="19" t="n">
        <v>-0.2066</v>
      </c>
      <c r="E89" s="19" t="n">
        <v>0.9925</v>
      </c>
      <c r="F89" s="19" t="n">
        <v>-0.6840000000000001</v>
      </c>
      <c r="G89" s="19" t="n">
        <v>-0.8254</v>
      </c>
      <c r="H89" s="19" t="n">
        <v>-0.3406</v>
      </c>
      <c r="I89" s="19" t="n">
        <v>0.5491</v>
      </c>
      <c r="J89" s="19" t="n">
        <v>-0.0541</v>
      </c>
      <c r="K89" s="19" t="n">
        <v>-1.1282</v>
      </c>
      <c r="L89" s="19" t="n">
        <v>1.6345</v>
      </c>
      <c r="M89" s="19" t="n">
        <v>-0.4967</v>
      </c>
      <c r="N89" s="19" t="n">
        <v>-0.8022</v>
      </c>
      <c r="O89" s="19" t="n">
        <v>0.8713</v>
      </c>
      <c r="P89" s="19" t="n">
        <v>-0.0023</v>
      </c>
      <c r="Q89" s="19" t="n">
        <v>-0.0145</v>
      </c>
    </row>
    <row r="90" ht="19" customHeight="1">
      <c r="A90" s="16" t="inlineStr">
        <is>
          <t>WINE-088</t>
        </is>
      </c>
      <c r="B90" s="20" t="n">
        <v>-1.6684</v>
      </c>
      <c r="C90" s="20" t="n">
        <v>-0.5982</v>
      </c>
      <c r="D90" s="20" t="n">
        <v>0.9266</v>
      </c>
      <c r="E90" s="20" t="n">
        <v>1.9534</v>
      </c>
      <c r="F90" s="20" t="n">
        <v>-0.8244</v>
      </c>
      <c r="G90" s="20" t="n">
        <v>-0.6011</v>
      </c>
      <c r="H90" s="20" t="n">
        <v>-0.4209</v>
      </c>
      <c r="I90" s="20" t="n">
        <v>0.3074</v>
      </c>
      <c r="J90" s="20" t="n">
        <v>-0.4396</v>
      </c>
      <c r="K90" s="20" t="n">
        <v>-1.0633</v>
      </c>
      <c r="L90" s="20" t="n">
        <v>1.7661</v>
      </c>
      <c r="M90" s="20" t="n">
        <v>0.8451</v>
      </c>
      <c r="N90" s="20" t="n">
        <v>-0.5888</v>
      </c>
      <c r="O90" s="20" t="n">
        <v>-1.1648</v>
      </c>
      <c r="P90" s="20" t="n">
        <v>-0.3132</v>
      </c>
      <c r="Q90" s="20" t="n">
        <v>1.1635</v>
      </c>
    </row>
    <row r="91" ht="19" customHeight="1">
      <c r="A91" s="13" t="inlineStr">
        <is>
          <t>WINE-089</t>
        </is>
      </c>
      <c r="B91" s="19" t="n">
        <v>-1.6807</v>
      </c>
      <c r="C91" s="19" t="n">
        <v>-0.2481</v>
      </c>
      <c r="D91" s="19" t="n">
        <v>0.3417</v>
      </c>
      <c r="E91" s="19" t="n">
        <v>0.6321</v>
      </c>
      <c r="F91" s="19" t="n">
        <v>-1.1053</v>
      </c>
      <c r="G91" s="19" t="n">
        <v>-0.553</v>
      </c>
      <c r="H91" s="19" t="n">
        <v>-0.3406</v>
      </c>
      <c r="I91" s="19" t="n">
        <v>0.952</v>
      </c>
      <c r="J91" s="19" t="n">
        <v>-0.4221</v>
      </c>
      <c r="K91" s="19" t="n">
        <v>-0.9768</v>
      </c>
      <c r="L91" s="19" t="n">
        <v>0.1867</v>
      </c>
      <c r="M91" s="19" t="n">
        <v>0.1954</v>
      </c>
      <c r="N91" s="19" t="n">
        <v>-0.213</v>
      </c>
      <c r="O91" s="19" t="n">
        <v>-0.3504</v>
      </c>
      <c r="P91" s="19" t="n">
        <v>-0.3987</v>
      </c>
      <c r="Q91" s="19" t="n">
        <v>0.1538</v>
      </c>
    </row>
    <row r="92" ht="19" customHeight="1">
      <c r="A92" s="16" t="inlineStr">
        <is>
          <t>WINE-090</t>
        </is>
      </c>
      <c r="B92" s="20" t="n">
        <v>-1.1372</v>
      </c>
      <c r="C92" s="20" t="n">
        <v>-0.9034</v>
      </c>
      <c r="D92" s="20" t="n">
        <v>-0.2431</v>
      </c>
      <c r="E92" s="20" t="n">
        <v>1.2327</v>
      </c>
      <c r="F92" s="20" t="n">
        <v>-2.0883</v>
      </c>
      <c r="G92" s="20" t="n">
        <v>-0.1524</v>
      </c>
      <c r="H92" s="20" t="n">
        <v>-0.441</v>
      </c>
      <c r="I92" s="20" t="n">
        <v>0.4685</v>
      </c>
      <c r="J92" s="20" t="n">
        <v>-0.3695</v>
      </c>
      <c r="K92" s="20" t="n">
        <v>-1.4353</v>
      </c>
      <c r="L92" s="20" t="n">
        <v>0.4938</v>
      </c>
      <c r="M92" s="20" t="n">
        <v>0.8451</v>
      </c>
      <c r="N92" s="20" t="n">
        <v>-0.3882</v>
      </c>
      <c r="O92" s="20" t="n">
        <v>1.3367</v>
      </c>
      <c r="P92" s="20" t="n">
        <v>-0.6395999999999999</v>
      </c>
      <c r="Q92" s="20" t="n">
        <v>0.2099</v>
      </c>
    </row>
    <row r="93" ht="19" customHeight="1">
      <c r="A93" s="13" t="inlineStr">
        <is>
          <t>WINE-091</t>
        </is>
      </c>
      <c r="B93" s="19" t="n">
        <v>-1.1372</v>
      </c>
      <c r="C93" s="19" t="n">
        <v>-0.4545</v>
      </c>
      <c r="D93" s="19" t="n">
        <v>-0.17</v>
      </c>
      <c r="E93" s="19" t="n">
        <v>-0.2988</v>
      </c>
      <c r="F93" s="19" t="n">
        <v>-1.3159</v>
      </c>
      <c r="G93" s="19" t="n">
        <v>-1.1138</v>
      </c>
      <c r="H93" s="19" t="n">
        <v>-0.5314</v>
      </c>
      <c r="I93" s="19" t="n">
        <v>1.2743</v>
      </c>
      <c r="J93" s="19" t="n">
        <v>0.08599999999999999</v>
      </c>
      <c r="K93" s="19" t="n">
        <v>-1.1498</v>
      </c>
      <c r="L93" s="19" t="n">
        <v>0.5377</v>
      </c>
      <c r="M93" s="19" t="n">
        <v>-0.4826</v>
      </c>
      <c r="N93" s="19" t="n">
        <v>-0.8499</v>
      </c>
      <c r="O93" s="19" t="n">
        <v>0.2314</v>
      </c>
      <c r="P93" s="19" t="n">
        <v>-0.6707</v>
      </c>
      <c r="Q93" s="19" t="n">
        <v>-0.3511</v>
      </c>
    </row>
    <row r="94" ht="19" customHeight="1">
      <c r="A94" s="16" t="inlineStr">
        <is>
          <t>WINE-092</t>
        </is>
      </c>
      <c r="B94" s="20" t="n">
        <v>-1.236</v>
      </c>
      <c r="C94" s="20" t="n">
        <v>-0.7418</v>
      </c>
      <c r="D94" s="20" t="n">
        <v>0.1955</v>
      </c>
      <c r="E94" s="20" t="n">
        <v>0.7522</v>
      </c>
      <c r="F94" s="20" t="n">
        <v>-0.9648</v>
      </c>
      <c r="G94" s="20" t="n">
        <v>-1.3542</v>
      </c>
      <c r="H94" s="20" t="n">
        <v>-0.7824</v>
      </c>
      <c r="I94" s="20" t="n">
        <v>1.1132</v>
      </c>
      <c r="J94" s="20" t="n">
        <v>0.06850000000000001</v>
      </c>
      <c r="K94" s="20" t="n">
        <v>-0.6307</v>
      </c>
      <c r="L94" s="20" t="n">
        <v>0.4061</v>
      </c>
      <c r="M94" s="20" t="n">
        <v>0.0541</v>
      </c>
      <c r="N94" s="20" t="n">
        <v>-0.9455</v>
      </c>
      <c r="O94" s="20" t="n">
        <v>-0.6412</v>
      </c>
      <c r="P94" s="20" t="n">
        <v>-1.1758</v>
      </c>
      <c r="Q94" s="20" t="n">
        <v>-0.0145</v>
      </c>
    </row>
    <row r="95" ht="19" customHeight="1">
      <c r="A95" s="13" t="inlineStr">
        <is>
          <t>WINE-093</t>
        </is>
      </c>
      <c r="B95" s="19" t="n">
        <v>-0.3837</v>
      </c>
      <c r="C95" s="19" t="n">
        <v>-0.7238</v>
      </c>
      <c r="D95" s="19" t="n">
        <v>-0.3894</v>
      </c>
      <c r="E95" s="19" t="n">
        <v>0.3619</v>
      </c>
      <c r="F95" s="19" t="n">
        <v>-1.3861</v>
      </c>
      <c r="G95" s="19" t="n">
        <v>-1.4663</v>
      </c>
      <c r="H95" s="19" t="n">
        <v>-0.5715</v>
      </c>
      <c r="I95" s="19" t="n">
        <v>1.7578</v>
      </c>
      <c r="J95" s="19" t="n">
        <v>0.051</v>
      </c>
      <c r="K95" s="19" t="n">
        <v>-0.8686</v>
      </c>
      <c r="L95" s="19" t="n">
        <v>0.0112</v>
      </c>
      <c r="M95" s="19" t="n">
        <v>-0.7792</v>
      </c>
      <c r="N95" s="19" t="n">
        <v>-0.8022</v>
      </c>
      <c r="O95" s="19" t="n">
        <v>-0.2922</v>
      </c>
      <c r="P95" s="19" t="n">
        <v>1.4665</v>
      </c>
      <c r="Q95" s="19" t="n">
        <v>0.3782</v>
      </c>
    </row>
    <row r="96" ht="19" customHeight="1">
      <c r="A96" s="16" t="inlineStr">
        <is>
          <t>WINE-094</t>
        </is>
      </c>
      <c r="B96" s="20" t="n">
        <v>-0.8778</v>
      </c>
      <c r="C96" s="20" t="n">
        <v>0.4431</v>
      </c>
      <c r="D96" s="20" t="n">
        <v>-0.5356</v>
      </c>
      <c r="E96" s="20" t="n">
        <v>-0.4489</v>
      </c>
      <c r="F96" s="20" t="n">
        <v>-0.8244</v>
      </c>
      <c r="G96" s="20" t="n">
        <v>0.2482</v>
      </c>
      <c r="H96" s="20" t="n">
        <v>0.2216</v>
      </c>
      <c r="I96" s="20" t="n">
        <v>-0.9013</v>
      </c>
      <c r="J96" s="20" t="n">
        <v>0.6993</v>
      </c>
      <c r="K96" s="20" t="n">
        <v>-1.258</v>
      </c>
      <c r="L96" s="20" t="n">
        <v>0.8448</v>
      </c>
      <c r="M96" s="20" t="n">
        <v>0.9722</v>
      </c>
      <c r="N96" s="20" t="n">
        <v>-1.455</v>
      </c>
      <c r="O96" s="20" t="n">
        <v>0.2896</v>
      </c>
      <c r="P96" s="20" t="n">
        <v>0.3863</v>
      </c>
      <c r="Q96" s="20" t="n">
        <v>-1.6974</v>
      </c>
    </row>
    <row r="97" ht="19" customHeight="1">
      <c r="A97" s="13" t="inlineStr">
        <is>
          <t>WINE-095</t>
        </is>
      </c>
      <c r="B97" s="19" t="n">
        <v>-1.7054</v>
      </c>
      <c r="C97" s="19" t="n">
        <v>-0.3109</v>
      </c>
      <c r="D97" s="19" t="n">
        <v>-0.3162</v>
      </c>
      <c r="E97" s="19" t="n">
        <v>-0.4489</v>
      </c>
      <c r="F97" s="19" t="n">
        <v>-0.1223</v>
      </c>
      <c r="G97" s="19" t="n">
        <v>1.1615</v>
      </c>
      <c r="H97" s="19" t="n">
        <v>0.2316</v>
      </c>
      <c r="I97" s="19" t="n">
        <v>-1.5459</v>
      </c>
      <c r="J97" s="19" t="n">
        <v>-0.4221</v>
      </c>
      <c r="K97" s="19" t="n">
        <v>-0.7821</v>
      </c>
      <c r="L97" s="19" t="n">
        <v>0.8887</v>
      </c>
      <c r="M97" s="19" t="n">
        <v>0.492</v>
      </c>
      <c r="N97" s="19" t="n">
        <v>-1.2798</v>
      </c>
      <c r="O97" s="19" t="n">
        <v>-0.5249</v>
      </c>
      <c r="P97" s="19" t="n">
        <v>0.0987</v>
      </c>
      <c r="Q97" s="19" t="n">
        <v>-1.3047</v>
      </c>
    </row>
    <row r="98" ht="19" customHeight="1">
      <c r="A98" s="16" t="inlineStr">
        <is>
          <t>WINE-096</t>
        </is>
      </c>
      <c r="B98" s="20" t="n">
        <v>-0.6555</v>
      </c>
      <c r="C98" s="20" t="n">
        <v>-0.7328</v>
      </c>
      <c r="D98" s="20" t="n">
        <v>-0.6087</v>
      </c>
      <c r="E98" s="20" t="n">
        <v>-0.1486</v>
      </c>
      <c r="F98" s="20" t="n">
        <v>4.3714</v>
      </c>
      <c r="G98" s="20" t="n">
        <v>0.3283</v>
      </c>
      <c r="H98" s="20" t="n">
        <v>0.2417</v>
      </c>
      <c r="I98" s="20" t="n">
        <v>-0.3373</v>
      </c>
      <c r="J98" s="20" t="n">
        <v>2.9594</v>
      </c>
      <c r="K98" s="20" t="n">
        <v>-1.0633</v>
      </c>
      <c r="L98" s="20" t="n">
        <v>0.8887</v>
      </c>
      <c r="M98" s="20" t="n">
        <v>0.0259</v>
      </c>
      <c r="N98" s="20" t="n">
        <v>0.6054</v>
      </c>
      <c r="O98" s="20" t="n">
        <v>0.5223</v>
      </c>
      <c r="P98" s="20" t="n">
        <v>-0.321</v>
      </c>
      <c r="Q98" s="20" t="n">
        <v>0.7709</v>
      </c>
    </row>
    <row r="99" ht="19" customHeight="1">
      <c r="A99" s="13" t="inlineStr">
        <is>
          <t>WINE-097</t>
        </is>
      </c>
      <c r="B99" s="19" t="n">
        <v>-1.4707</v>
      </c>
      <c r="C99" s="19" t="n">
        <v>-0.1942</v>
      </c>
      <c r="D99" s="19" t="n">
        <v>1.3652</v>
      </c>
      <c r="E99" s="19" t="n">
        <v>0.6021</v>
      </c>
      <c r="F99" s="19" t="n">
        <v>2.4054</v>
      </c>
      <c r="G99" s="19" t="n">
        <v>-1.1138</v>
      </c>
      <c r="H99" s="19" t="n">
        <v>-1.0434</v>
      </c>
      <c r="I99" s="19" t="n">
        <v>-1.7877</v>
      </c>
      <c r="J99" s="19" t="n">
        <v>-0.0541</v>
      </c>
      <c r="K99" s="19" t="n">
        <v>-1.1066</v>
      </c>
      <c r="L99" s="19" t="n">
        <v>-0.0327</v>
      </c>
      <c r="M99" s="19" t="n">
        <v>-0.4967</v>
      </c>
      <c r="N99" s="19" t="n">
        <v>-0.3882</v>
      </c>
      <c r="O99" s="19" t="n">
        <v>0.0569</v>
      </c>
      <c r="P99" s="19" t="n">
        <v>-0.9116</v>
      </c>
      <c r="Q99" s="19" t="n">
        <v>0.2099</v>
      </c>
    </row>
    <row r="100" ht="19" customHeight="1">
      <c r="A100" s="16" t="inlineStr">
        <is>
          <t>WINE-098</t>
        </is>
      </c>
      <c r="B100" s="20" t="n">
        <v>-0.8778</v>
      </c>
      <c r="C100" s="20" t="n">
        <v>-0.8315</v>
      </c>
      <c r="D100" s="20" t="n">
        <v>-1.4129</v>
      </c>
      <c r="E100" s="20" t="n">
        <v>-1.0495</v>
      </c>
      <c r="F100" s="20" t="n">
        <v>-1.0351</v>
      </c>
      <c r="G100" s="20" t="n">
        <v>0.4084</v>
      </c>
      <c r="H100" s="20" t="n">
        <v>0.4726</v>
      </c>
      <c r="I100" s="20" t="n">
        <v>-0.579</v>
      </c>
      <c r="J100" s="20" t="n">
        <v>0.3138</v>
      </c>
      <c r="K100" s="20" t="n">
        <v>-0.9335</v>
      </c>
      <c r="L100" s="20" t="n">
        <v>1.1958</v>
      </c>
      <c r="M100" s="20" t="n">
        <v>0.1812</v>
      </c>
      <c r="N100" s="20" t="n">
        <v>-1.0155</v>
      </c>
      <c r="O100" s="20" t="n">
        <v>-0.1758</v>
      </c>
      <c r="P100" s="20" t="n">
        <v>-0.7873</v>
      </c>
      <c r="Q100" s="20" t="n">
        <v>-0.1267</v>
      </c>
    </row>
    <row r="101" ht="19" customHeight="1">
      <c r="A101" s="13" t="inlineStr">
        <is>
          <t>WINE-099</t>
        </is>
      </c>
      <c r="B101" s="19" t="n">
        <v>-0.779</v>
      </c>
      <c r="C101" s="19" t="n">
        <v>-1.1368</v>
      </c>
      <c r="D101" s="19" t="n">
        <v>-0.9742</v>
      </c>
      <c r="E101" s="19" t="n">
        <v>-0.2988</v>
      </c>
      <c r="F101" s="19" t="n">
        <v>-0.8244</v>
      </c>
      <c r="G101" s="19" t="n">
        <v>1.9627</v>
      </c>
      <c r="H101" s="19" t="n">
        <v>1.7276</v>
      </c>
      <c r="I101" s="19" t="n">
        <v>-0.9819</v>
      </c>
      <c r="J101" s="19" t="n">
        <v>0.6292</v>
      </c>
      <c r="K101" s="19" t="n">
        <v>-0.2414</v>
      </c>
      <c r="L101" s="19" t="n">
        <v>0.3622</v>
      </c>
      <c r="M101" s="19" t="n">
        <v>0.2236</v>
      </c>
      <c r="N101" s="19" t="n">
        <v>-0.2767</v>
      </c>
      <c r="O101" s="19" t="n">
        <v>2.3839</v>
      </c>
      <c r="P101" s="19" t="n">
        <v>-1.137</v>
      </c>
      <c r="Q101" s="19" t="n">
        <v>0.0416</v>
      </c>
    </row>
    <row r="102" ht="19" customHeight="1">
      <c r="A102" s="16" t="inlineStr">
        <is>
          <t>WINE-100</t>
        </is>
      </c>
      <c r="B102" s="20" t="n">
        <v>-0.8778</v>
      </c>
      <c r="C102" s="20" t="n">
        <v>0.7483</v>
      </c>
      <c r="D102" s="20" t="n">
        <v>-0.5721000000000001</v>
      </c>
      <c r="E102" s="20" t="n">
        <v>-0.4489</v>
      </c>
      <c r="F102" s="20" t="n">
        <v>-0.8244</v>
      </c>
      <c r="G102" s="20" t="n">
        <v>0.8891</v>
      </c>
      <c r="H102" s="20" t="n">
        <v>0.9645</v>
      </c>
      <c r="I102" s="20" t="n">
        <v>0.7103</v>
      </c>
      <c r="J102" s="20" t="n">
        <v>2.136</v>
      </c>
      <c r="K102" s="20" t="n">
        <v>-1.1931</v>
      </c>
      <c r="L102" s="20" t="n">
        <v>2.0294</v>
      </c>
      <c r="M102" s="20" t="n">
        <v>0.3084</v>
      </c>
      <c r="N102" s="20" t="n">
        <v>-1.0856</v>
      </c>
      <c r="O102" s="20" t="n">
        <v>0.115</v>
      </c>
      <c r="P102" s="20" t="n">
        <v>-0.7173</v>
      </c>
      <c r="Q102" s="20" t="n">
        <v>0.3782</v>
      </c>
    </row>
    <row r="103" ht="19" customHeight="1">
      <c r="A103" s="13" t="inlineStr">
        <is>
          <t>WINE-101</t>
        </is>
      </c>
      <c r="B103" s="19" t="n">
        <v>-1.1372</v>
      </c>
      <c r="C103" s="19" t="n">
        <v>-0.2301</v>
      </c>
      <c r="D103" s="19" t="n">
        <v>-2.4363</v>
      </c>
      <c r="E103" s="19" t="n">
        <v>-0.5991</v>
      </c>
      <c r="F103" s="19" t="n">
        <v>-0.1925</v>
      </c>
      <c r="G103" s="19" t="n">
        <v>-0.1043</v>
      </c>
      <c r="H103" s="19" t="n">
        <v>0.1413</v>
      </c>
      <c r="I103" s="19" t="n">
        <v>-0.8207</v>
      </c>
      <c r="J103" s="19" t="n">
        <v>-0.3345</v>
      </c>
      <c r="K103" s="19" t="n">
        <v>-0.7605</v>
      </c>
      <c r="L103" s="19" t="n">
        <v>1.3713</v>
      </c>
      <c r="M103" s="19" t="n">
        <v>0.492</v>
      </c>
      <c r="N103" s="19" t="n">
        <v>-0.1175</v>
      </c>
      <c r="O103" s="19" t="n">
        <v>-1.6884</v>
      </c>
      <c r="P103" s="19" t="n">
        <v>-0.9738</v>
      </c>
      <c r="Q103" s="19" t="n">
        <v>-0.5194</v>
      </c>
    </row>
    <row r="104" ht="19" customHeight="1">
      <c r="A104" s="16" t="inlineStr">
        <is>
          <t>WINE-102</t>
        </is>
      </c>
      <c r="B104" s="20" t="n">
        <v>-0.4949</v>
      </c>
      <c r="C104" s="20" t="n">
        <v>-0.8944</v>
      </c>
      <c r="D104" s="20" t="n">
        <v>-1.7053</v>
      </c>
      <c r="E104" s="20" t="n">
        <v>-0.2988</v>
      </c>
      <c r="F104" s="20" t="n">
        <v>-0.8244</v>
      </c>
      <c r="G104" s="20" t="n">
        <v>-1.3542</v>
      </c>
      <c r="H104" s="20" t="n">
        <v>-0.6719000000000001</v>
      </c>
      <c r="I104" s="20" t="n">
        <v>-0.579</v>
      </c>
      <c r="J104" s="20" t="n">
        <v>-0.4221</v>
      </c>
      <c r="K104" s="20" t="n">
        <v>-1.1282</v>
      </c>
      <c r="L104" s="20" t="n">
        <v>0.3622</v>
      </c>
      <c r="M104" s="20" t="n">
        <v>0.2236</v>
      </c>
      <c r="N104" s="20" t="n">
        <v>-0.5888</v>
      </c>
      <c r="O104" s="20" t="n">
        <v>0.5804</v>
      </c>
      <c r="P104" s="20" t="n">
        <v>2.0028</v>
      </c>
      <c r="Q104" s="20" t="n">
        <v>-0.7438</v>
      </c>
    </row>
    <row r="105" ht="19" customHeight="1">
      <c r="A105" s="13" t="inlineStr">
        <is>
          <t>WINE-103</t>
        </is>
      </c>
      <c r="B105" s="19" t="n">
        <v>-0.8159999999999999</v>
      </c>
      <c r="C105" s="19" t="n">
        <v>0.102</v>
      </c>
      <c r="D105" s="19" t="n">
        <v>0.3417</v>
      </c>
      <c r="E105" s="19" t="n">
        <v>0.4519</v>
      </c>
      <c r="F105" s="19" t="n">
        <v>-0.1223</v>
      </c>
      <c r="G105" s="19" t="n">
        <v>0.4244</v>
      </c>
      <c r="H105" s="19" t="n">
        <v>0.08110000000000001</v>
      </c>
      <c r="I105" s="19" t="n">
        <v>-0.1761</v>
      </c>
      <c r="J105" s="19" t="n">
        <v>-0.4922</v>
      </c>
      <c r="K105" s="19" t="n">
        <v>-0.9768</v>
      </c>
      <c r="L105" s="19" t="n">
        <v>-0.6908</v>
      </c>
      <c r="M105" s="19" t="n">
        <v>1.0852</v>
      </c>
      <c r="N105" s="19" t="n">
        <v>-0.9837</v>
      </c>
      <c r="O105" s="19" t="n">
        <v>-0.6994</v>
      </c>
      <c r="P105" s="19" t="n">
        <v>0.7671</v>
      </c>
      <c r="Q105" s="19" t="n">
        <v>0.266</v>
      </c>
    </row>
    <row r="106" ht="19" customHeight="1">
      <c r="A106" s="16" t="inlineStr">
        <is>
          <t>WINE-104</t>
        </is>
      </c>
      <c r="B106" s="20" t="n">
        <v>-1.4584</v>
      </c>
      <c r="C106" s="20" t="n">
        <v>-0.5533</v>
      </c>
      <c r="D106" s="20" t="n">
        <v>-1.7784</v>
      </c>
      <c r="E106" s="20" t="n">
        <v>0.0015</v>
      </c>
      <c r="F106" s="20" t="n">
        <v>-0.9648</v>
      </c>
      <c r="G106" s="20" t="n">
        <v>0.3283</v>
      </c>
      <c r="H106" s="20" t="n">
        <v>-0.3908</v>
      </c>
      <c r="I106" s="20" t="n">
        <v>0.06560000000000001</v>
      </c>
      <c r="J106" s="20" t="n">
        <v>-0.2994</v>
      </c>
      <c r="K106" s="20" t="n">
        <v>-1.2969</v>
      </c>
      <c r="L106" s="20" t="n">
        <v>-0.0766</v>
      </c>
      <c r="M106" s="20" t="n">
        <v>-0.2425</v>
      </c>
      <c r="N106" s="20" t="n">
        <v>-1.0569</v>
      </c>
      <c r="O106" s="20" t="n">
        <v>0.9877</v>
      </c>
      <c r="P106" s="20" t="n">
        <v>-0.1344</v>
      </c>
      <c r="Q106" s="20" t="n">
        <v>-0.9681</v>
      </c>
    </row>
    <row r="107" ht="19" customHeight="1">
      <c r="A107" s="13" t="inlineStr">
        <is>
          <t>WINE-105</t>
        </is>
      </c>
      <c r="B107" s="19" t="n">
        <v>-0.606</v>
      </c>
      <c r="C107" s="19" t="n">
        <v>-0.5443</v>
      </c>
      <c r="D107" s="19" t="n">
        <v>-1.4129</v>
      </c>
      <c r="E107" s="19" t="n">
        <v>0.3018</v>
      </c>
      <c r="F107" s="19" t="n">
        <v>-1.0351</v>
      </c>
      <c r="G107" s="19" t="n">
        <v>-0.1524</v>
      </c>
      <c r="H107" s="19" t="n">
        <v>-0.1097</v>
      </c>
      <c r="I107" s="19" t="n">
        <v>-0.3373</v>
      </c>
      <c r="J107" s="19" t="n">
        <v>-0.1943</v>
      </c>
      <c r="K107" s="19" t="n">
        <v>-0.9162</v>
      </c>
      <c r="L107" s="19" t="n">
        <v>0.3622</v>
      </c>
      <c r="M107" s="19" t="n">
        <v>1.3536</v>
      </c>
      <c r="N107" s="19" t="n">
        <v>-0.2385</v>
      </c>
      <c r="O107" s="19" t="n">
        <v>-0.4667</v>
      </c>
      <c r="P107" s="19" t="n">
        <v>-0.8572</v>
      </c>
      <c r="Q107" s="19" t="n">
        <v>0.4343</v>
      </c>
    </row>
    <row r="108" ht="19" customHeight="1">
      <c r="A108" s="16" t="inlineStr">
        <is>
          <t>WINE-106</t>
        </is>
      </c>
      <c r="B108" s="20" t="n">
        <v>-0.7171999999999999</v>
      </c>
      <c r="C108" s="20" t="n">
        <v>0.1918</v>
      </c>
      <c r="D108" s="20" t="n">
        <v>-0.3528</v>
      </c>
      <c r="E108" s="20" t="n">
        <v>0.7522</v>
      </c>
      <c r="F108" s="20" t="n">
        <v>-0.6840000000000001</v>
      </c>
      <c r="G108" s="20" t="n">
        <v>-0.9856</v>
      </c>
      <c r="H108" s="20" t="n">
        <v>-0.19</v>
      </c>
      <c r="I108" s="20" t="n">
        <v>2.4024</v>
      </c>
      <c r="J108" s="20" t="n">
        <v>-0.2994</v>
      </c>
      <c r="K108" s="20" t="n">
        <v>-1.02</v>
      </c>
      <c r="L108" s="20" t="n">
        <v>-0.4275</v>
      </c>
      <c r="M108" s="20" t="n">
        <v>0.9722</v>
      </c>
      <c r="N108" s="20" t="n">
        <v>-1.3754</v>
      </c>
      <c r="O108" s="20" t="n">
        <v>-0.234</v>
      </c>
      <c r="P108" s="20" t="n">
        <v>-0.9505</v>
      </c>
      <c r="Q108" s="20" t="n">
        <v>-1.6974</v>
      </c>
    </row>
    <row r="109" ht="19" customHeight="1">
      <c r="A109" s="13" t="inlineStr">
        <is>
          <t>WINE-107</t>
        </is>
      </c>
      <c r="B109" s="19" t="n">
        <v>-0.9272</v>
      </c>
      <c r="C109" s="19" t="n">
        <v>-0.5443</v>
      </c>
      <c r="D109" s="19" t="n">
        <v>-0.9011</v>
      </c>
      <c r="E109" s="19" t="n">
        <v>-0.1486</v>
      </c>
      <c r="F109" s="19" t="n">
        <v>-1.3861</v>
      </c>
      <c r="G109" s="19" t="n">
        <v>-1.0337</v>
      </c>
      <c r="H109" s="19" t="n">
        <v>0.0007</v>
      </c>
      <c r="I109" s="19" t="n">
        <v>0.06560000000000001</v>
      </c>
      <c r="J109" s="19" t="n">
        <v>0.06850000000000001</v>
      </c>
      <c r="K109" s="19" t="n">
        <v>-0.7171999999999999</v>
      </c>
      <c r="L109" s="19" t="n">
        <v>0.1867</v>
      </c>
      <c r="M109" s="19" t="n">
        <v>0.7886</v>
      </c>
      <c r="N109" s="19" t="n">
        <v>-0.7544</v>
      </c>
      <c r="O109" s="19" t="n">
        <v>0.6385999999999999</v>
      </c>
      <c r="P109" s="19" t="n">
        <v>-0.3754</v>
      </c>
      <c r="Q109" s="19" t="n">
        <v>1.1074</v>
      </c>
    </row>
    <row r="110" ht="19" customHeight="1">
      <c r="A110" s="16" t="inlineStr">
        <is>
          <t>WINE-108</t>
        </is>
      </c>
      <c r="B110" s="20" t="n">
        <v>-0.3466</v>
      </c>
      <c r="C110" s="20" t="n">
        <v>-0.5263</v>
      </c>
      <c r="D110" s="20" t="n">
        <v>-0.3162</v>
      </c>
      <c r="E110" s="20" t="n">
        <v>0.9024</v>
      </c>
      <c r="F110" s="20" t="n">
        <v>-1.1053</v>
      </c>
      <c r="G110" s="20" t="n">
        <v>-1.4663</v>
      </c>
      <c r="H110" s="20" t="n">
        <v>-0.2703</v>
      </c>
      <c r="I110" s="20" t="n">
        <v>0.952</v>
      </c>
      <c r="J110" s="20" t="n">
        <v>0.06850000000000001</v>
      </c>
      <c r="K110" s="20" t="n">
        <v>-0.7605</v>
      </c>
      <c r="L110" s="20" t="n">
        <v>-0.3398</v>
      </c>
      <c r="M110" s="20" t="n">
        <v>-0.2707</v>
      </c>
      <c r="N110" s="20" t="n">
        <v>-0.8244</v>
      </c>
      <c r="O110" s="20" t="n">
        <v>0.9877</v>
      </c>
      <c r="P110" s="20" t="n">
        <v>0.8293</v>
      </c>
      <c r="Q110" s="20" t="n">
        <v>0.5465</v>
      </c>
    </row>
    <row r="111" ht="19" customHeight="1">
      <c r="A111" s="13" t="inlineStr">
        <is>
          <t>WINE-109</t>
        </is>
      </c>
      <c r="B111" s="19" t="n">
        <v>-0.9643</v>
      </c>
      <c r="C111" s="19" t="n">
        <v>-0.9393</v>
      </c>
      <c r="D111" s="19" t="n">
        <v>-1.5591</v>
      </c>
      <c r="E111" s="19" t="n">
        <v>-0.1486</v>
      </c>
      <c r="F111" s="19" t="n">
        <v>-0.5436</v>
      </c>
      <c r="G111" s="19" t="n">
        <v>0.104</v>
      </c>
      <c r="H111" s="19" t="n">
        <v>0.0108</v>
      </c>
      <c r="I111" s="19" t="n">
        <v>0.2268</v>
      </c>
      <c r="J111" s="19" t="n">
        <v>0.8569</v>
      </c>
      <c r="K111" s="19" t="n">
        <v>-1.02</v>
      </c>
      <c r="L111" s="19" t="n">
        <v>-0.4275</v>
      </c>
      <c r="M111" s="19" t="n">
        <v>0.5767</v>
      </c>
      <c r="N111" s="19" t="n">
        <v>-1.3849</v>
      </c>
      <c r="O111" s="19" t="n">
        <v>-0.6412</v>
      </c>
      <c r="P111" s="19" t="n">
        <v>-1.1292</v>
      </c>
      <c r="Q111" s="19" t="n">
        <v>0.3221</v>
      </c>
    </row>
    <row r="112" ht="19" customHeight="1">
      <c r="A112" s="16" t="inlineStr">
        <is>
          <t>WINE-110</t>
        </is>
      </c>
      <c r="B112" s="20" t="n">
        <v>-1.7178</v>
      </c>
      <c r="C112" s="20" t="n">
        <v>-0.8854</v>
      </c>
      <c r="D112" s="20" t="n">
        <v>1.219</v>
      </c>
      <c r="E112" s="20" t="n">
        <v>0.1517</v>
      </c>
      <c r="F112" s="20" t="n">
        <v>-0.4031</v>
      </c>
      <c r="G112" s="20" t="n">
        <v>0.7129</v>
      </c>
      <c r="H112" s="20" t="n">
        <v>0.8943</v>
      </c>
      <c r="I112" s="20" t="n">
        <v>-0.579</v>
      </c>
      <c r="J112" s="20" t="n">
        <v>1.5753</v>
      </c>
      <c r="K112" s="20" t="n">
        <v>-1.0417</v>
      </c>
      <c r="L112" s="20" t="n">
        <v>0.0112</v>
      </c>
      <c r="M112" s="20" t="n">
        <v>0.9157</v>
      </c>
      <c r="N112" s="20" t="n">
        <v>-0.213</v>
      </c>
      <c r="O112" s="20" t="n">
        <v>0.115</v>
      </c>
      <c r="P112" s="20" t="n">
        <v>0.3707</v>
      </c>
      <c r="Q112" s="20" t="n">
        <v>1.0513</v>
      </c>
    </row>
    <row r="113" ht="19" customHeight="1">
      <c r="A113" s="13" t="inlineStr">
        <is>
          <t>WINE-111</t>
        </is>
      </c>
      <c r="B113" s="19" t="n">
        <v>-1.9031</v>
      </c>
      <c r="C113" s="19" t="n">
        <v>1.26</v>
      </c>
      <c r="D113" s="19" t="n">
        <v>-1.9977</v>
      </c>
      <c r="E113" s="19" t="n">
        <v>0.0015</v>
      </c>
      <c r="F113" s="19" t="n">
        <v>0.5096000000000001</v>
      </c>
      <c r="G113" s="19" t="n">
        <v>1.4179</v>
      </c>
      <c r="H113" s="19" t="n">
        <v>0.5528999999999999</v>
      </c>
      <c r="I113" s="19" t="n">
        <v>-0.9819</v>
      </c>
      <c r="J113" s="19" t="n">
        <v>3.4851</v>
      </c>
      <c r="K113" s="19" t="n">
        <v>-0.9335</v>
      </c>
      <c r="L113" s="19" t="n">
        <v>-0.9102</v>
      </c>
      <c r="M113" s="19" t="n">
        <v>0.2801</v>
      </c>
      <c r="N113" s="19" t="n">
        <v>-0.5888</v>
      </c>
      <c r="O113" s="19" t="n">
        <v>-1.1066</v>
      </c>
      <c r="P113" s="19" t="n">
        <v>-0.7251</v>
      </c>
      <c r="Q113" s="19" t="n">
        <v>1.7245</v>
      </c>
    </row>
    <row r="114" ht="19" customHeight="1">
      <c r="A114" s="16" t="inlineStr">
        <is>
          <t>WINE-112</t>
        </is>
      </c>
      <c r="B114" s="20" t="n">
        <v>-0.5937</v>
      </c>
      <c r="C114" s="20" t="n">
        <v>0.08409999999999999</v>
      </c>
      <c r="D114" s="20" t="n">
        <v>-0.7183</v>
      </c>
      <c r="E114" s="20" t="n">
        <v>0.4519</v>
      </c>
      <c r="F114" s="20" t="n">
        <v>-0.8244</v>
      </c>
      <c r="G114" s="20" t="n">
        <v>0.4084</v>
      </c>
      <c r="H114" s="20" t="n">
        <v>0.2417</v>
      </c>
      <c r="I114" s="20" t="n">
        <v>-0.8207</v>
      </c>
      <c r="J114" s="20" t="n">
        <v>-0.6498</v>
      </c>
      <c r="K114" s="20" t="n">
        <v>-1.3228</v>
      </c>
      <c r="L114" s="20" t="n">
        <v>-0.2521</v>
      </c>
      <c r="M114" s="20" t="n">
        <v>0.2377</v>
      </c>
      <c r="N114" s="20" t="n">
        <v>-1.3435</v>
      </c>
      <c r="O114" s="20" t="n">
        <v>-0.6994</v>
      </c>
      <c r="P114" s="20" t="n">
        <v>-0.6085</v>
      </c>
      <c r="Q114" s="20" t="n">
        <v>1.0513</v>
      </c>
    </row>
    <row r="115" ht="19" customHeight="1">
      <c r="A115" s="13" t="inlineStr">
        <is>
          <t>WINE-113</t>
        </is>
      </c>
      <c r="B115" s="19" t="n">
        <v>-1.5325</v>
      </c>
      <c r="C115" s="19" t="n">
        <v>0.3085</v>
      </c>
      <c r="D115" s="19" t="n">
        <v>2.0232</v>
      </c>
      <c r="E115" s="19" t="n">
        <v>0.1517</v>
      </c>
      <c r="F115" s="19" t="n">
        <v>0.2288</v>
      </c>
      <c r="G115" s="19" t="n">
        <v>-0.8735000000000001</v>
      </c>
      <c r="H115" s="19" t="n">
        <v>0.0007</v>
      </c>
      <c r="I115" s="19" t="n">
        <v>1.9189</v>
      </c>
      <c r="J115" s="19" t="n">
        <v>-0.9477</v>
      </c>
      <c r="K115" s="19" t="n">
        <v>-0.5442</v>
      </c>
      <c r="L115" s="19" t="n">
        <v>1.1958</v>
      </c>
      <c r="M115" s="19" t="n">
        <v>-0.1577</v>
      </c>
      <c r="N115" s="19" t="n">
        <v>-0.4455</v>
      </c>
      <c r="O115" s="19" t="n">
        <v>1.3367</v>
      </c>
      <c r="P115" s="19" t="n">
        <v>-0.1655</v>
      </c>
      <c r="Q115" s="19" t="n">
        <v>-1.8096</v>
      </c>
    </row>
    <row r="116" ht="19" customHeight="1">
      <c r="A116" s="16" t="inlineStr">
        <is>
          <t>WINE-114</t>
        </is>
      </c>
      <c r="B116" s="20" t="n">
        <v>-1.9648</v>
      </c>
      <c r="C116" s="20" t="n">
        <v>-1.433</v>
      </c>
      <c r="D116" s="20" t="n">
        <v>0.4879</v>
      </c>
      <c r="E116" s="20" t="n">
        <v>0.4519</v>
      </c>
      <c r="F116" s="20" t="n">
        <v>-0.8244</v>
      </c>
      <c r="G116" s="20" t="n">
        <v>0.2963</v>
      </c>
      <c r="H116" s="20" t="n">
        <v>-0.0193</v>
      </c>
      <c r="I116" s="20" t="n">
        <v>0.4685</v>
      </c>
      <c r="J116" s="20" t="n">
        <v>-0.2644</v>
      </c>
      <c r="K116" s="20" t="n">
        <v>-0.8557</v>
      </c>
      <c r="L116" s="20" t="n">
        <v>0.6254</v>
      </c>
      <c r="M116" s="20" t="n">
        <v>-0.4261</v>
      </c>
      <c r="N116" s="20" t="n">
        <v>-0.9964</v>
      </c>
      <c r="O116" s="20" t="n">
        <v>1.0458</v>
      </c>
      <c r="P116" s="20" t="n">
        <v>-0.8339</v>
      </c>
      <c r="Q116" s="20" t="n">
        <v>-1.2486</v>
      </c>
    </row>
    <row r="117" ht="19" customHeight="1">
      <c r="A117" s="13" t="inlineStr">
        <is>
          <t>WINE-115</t>
        </is>
      </c>
      <c r="B117" s="19" t="n">
        <v>-1.1372</v>
      </c>
      <c r="C117" s="19" t="n">
        <v>-0.8495</v>
      </c>
      <c r="D117" s="19" t="n">
        <v>0.4879</v>
      </c>
      <c r="E117" s="19" t="n">
        <v>0.9024</v>
      </c>
      <c r="F117" s="19" t="n">
        <v>-1.1053</v>
      </c>
      <c r="G117" s="19" t="n">
        <v>0.4244</v>
      </c>
      <c r="H117" s="19" t="n">
        <v>0.2618</v>
      </c>
      <c r="I117" s="19" t="n">
        <v>0.5491</v>
      </c>
      <c r="J117" s="19" t="n">
        <v>-0.9651999999999999</v>
      </c>
      <c r="K117" s="19" t="n">
        <v>-0.9335</v>
      </c>
      <c r="L117" s="19" t="n">
        <v>-0.1204</v>
      </c>
      <c r="M117" s="19" t="n">
        <v>0.8168</v>
      </c>
      <c r="N117" s="19" t="n">
        <v>-1.1524</v>
      </c>
      <c r="O117" s="19" t="n">
        <v>-0.6994</v>
      </c>
      <c r="P117" s="19" t="n">
        <v>-0.4142</v>
      </c>
      <c r="Q117" s="19" t="n">
        <v>-0.5755</v>
      </c>
    </row>
    <row r="118" ht="19" customHeight="1">
      <c r="A118" s="16" t="inlineStr">
        <is>
          <t>WINE-116</t>
        </is>
      </c>
      <c r="B118" s="20" t="n">
        <v>-2.4342</v>
      </c>
      <c r="C118" s="20" t="n">
        <v>-0.7418</v>
      </c>
      <c r="D118" s="20" t="n">
        <v>-0.6087</v>
      </c>
      <c r="E118" s="20" t="n">
        <v>0.6021</v>
      </c>
      <c r="F118" s="20" t="n">
        <v>-1.0351</v>
      </c>
      <c r="G118" s="20" t="n">
        <v>0.2642</v>
      </c>
      <c r="H118" s="20" t="n">
        <v>0.1413</v>
      </c>
      <c r="I118" s="20" t="n">
        <v>1.2743</v>
      </c>
      <c r="J118" s="20" t="n">
        <v>0.7343</v>
      </c>
      <c r="K118" s="20" t="n">
        <v>-1.3661</v>
      </c>
      <c r="L118" s="20" t="n">
        <v>3.3017</v>
      </c>
      <c r="M118" s="20" t="n">
        <v>0.3649</v>
      </c>
      <c r="N118" s="20" t="n">
        <v>-1.0824</v>
      </c>
      <c r="O118" s="20" t="n">
        <v>1.104</v>
      </c>
      <c r="P118" s="20" t="n">
        <v>-0.8804999999999999</v>
      </c>
      <c r="Q118" s="20" t="n">
        <v>0.0416</v>
      </c>
    </row>
    <row r="119" ht="19" customHeight="1">
      <c r="A119" s="13" t="inlineStr">
        <is>
          <t>WINE-117</t>
        </is>
      </c>
      <c r="B119" s="19" t="n">
        <v>-1.4584</v>
      </c>
      <c r="C119" s="19" t="n">
        <v>-0.7776999999999999</v>
      </c>
      <c r="D119" s="19" t="n">
        <v>-1.3763</v>
      </c>
      <c r="E119" s="19" t="n">
        <v>0.3919</v>
      </c>
      <c r="F119" s="19" t="n">
        <v>-0.9648</v>
      </c>
      <c r="G119" s="19" t="n">
        <v>-0.5049</v>
      </c>
      <c r="H119" s="19" t="n">
        <v>-0.431</v>
      </c>
      <c r="I119" s="19" t="n">
        <v>-0.4984</v>
      </c>
      <c r="J119" s="19" t="n">
        <v>-0.1067</v>
      </c>
      <c r="K119" s="19" t="n">
        <v>-1.3445</v>
      </c>
      <c r="L119" s="19" t="n">
        <v>-0.0327</v>
      </c>
      <c r="M119" s="19" t="n">
        <v>1.0146</v>
      </c>
      <c r="N119" s="19" t="n">
        <v>-0.8022</v>
      </c>
      <c r="O119" s="19" t="n">
        <v>2.2093</v>
      </c>
      <c r="P119" s="19" t="n">
        <v>-0.6707</v>
      </c>
      <c r="Q119" s="19" t="n">
        <v>0.5465</v>
      </c>
    </row>
    <row r="120" ht="19" customHeight="1">
      <c r="A120" s="16" t="inlineStr">
        <is>
          <t>WINE-118</t>
        </is>
      </c>
      <c r="B120" s="20" t="n">
        <v>-0.7171999999999999</v>
      </c>
      <c r="C120" s="20" t="n">
        <v>-0.652</v>
      </c>
      <c r="D120" s="20" t="n">
        <v>-0.6452</v>
      </c>
      <c r="E120" s="20" t="n">
        <v>0.9024</v>
      </c>
      <c r="F120" s="20" t="n">
        <v>0.5799</v>
      </c>
      <c r="G120" s="20" t="n">
        <v>-0.4729</v>
      </c>
      <c r="H120" s="20" t="n">
        <v>0.061</v>
      </c>
      <c r="I120" s="20" t="n">
        <v>-0.1761</v>
      </c>
      <c r="J120" s="20" t="n">
        <v>0.0335</v>
      </c>
      <c r="K120" s="20" t="n">
        <v>-1.2969</v>
      </c>
      <c r="L120" s="20" t="n">
        <v>0.4499</v>
      </c>
      <c r="M120" s="20" t="n">
        <v>0.492</v>
      </c>
      <c r="N120" s="20" t="n">
        <v>-1.2798</v>
      </c>
      <c r="O120" s="20" t="n">
        <v>1.1622</v>
      </c>
      <c r="P120" s="20" t="n">
        <v>0.6039</v>
      </c>
      <c r="Q120" s="20" t="n">
        <v>-0.6877</v>
      </c>
    </row>
    <row r="121" ht="19" customHeight="1">
      <c r="A121" s="13" t="inlineStr">
        <is>
          <t>WINE-119</t>
        </is>
      </c>
      <c r="B121" s="19" t="n">
        <v>-0.2849</v>
      </c>
      <c r="C121" s="19" t="n">
        <v>0.9817</v>
      </c>
      <c r="D121" s="19" t="n">
        <v>-1.4129</v>
      </c>
      <c r="E121" s="19" t="n">
        <v>-1.0495</v>
      </c>
      <c r="F121" s="19" t="n">
        <v>-1.3861</v>
      </c>
      <c r="G121" s="19" t="n">
        <v>-1.0657</v>
      </c>
      <c r="H121" s="19" t="n">
        <v>-0.7824</v>
      </c>
      <c r="I121" s="19" t="n">
        <v>0.5491</v>
      </c>
      <c r="J121" s="19" t="n">
        <v>-1.3332</v>
      </c>
      <c r="K121" s="19" t="n">
        <v>-0.7171999999999999</v>
      </c>
      <c r="L121" s="19" t="n">
        <v>-1.1295</v>
      </c>
      <c r="M121" s="19" t="n">
        <v>-0.6945</v>
      </c>
      <c r="N121" s="19" t="n">
        <v>-1.1938</v>
      </c>
      <c r="O121" s="19" t="n">
        <v>-1.9211</v>
      </c>
      <c r="P121" s="19" t="n">
        <v>-0.1189</v>
      </c>
      <c r="Q121" s="19" t="n">
        <v>0.2099</v>
      </c>
    </row>
    <row r="122" ht="19" customHeight="1">
      <c r="A122" s="16" t="inlineStr">
        <is>
          <t>WINE-120</t>
        </is>
      </c>
      <c r="B122" s="20" t="n">
        <v>-1.236</v>
      </c>
      <c r="C122" s="20" t="n">
        <v>0.9817</v>
      </c>
      <c r="D122" s="20" t="n">
        <v>-1.3397</v>
      </c>
      <c r="E122" s="20" t="n">
        <v>-0.1486</v>
      </c>
      <c r="F122" s="20" t="n">
        <v>-0.8946</v>
      </c>
      <c r="G122" s="20" t="n">
        <v>-0.4729</v>
      </c>
      <c r="H122" s="20" t="n">
        <v>-0.3908</v>
      </c>
      <c r="I122" s="20" t="n">
        <v>0.06560000000000001</v>
      </c>
      <c r="J122" s="20" t="n">
        <v>0.489</v>
      </c>
      <c r="K122" s="20" t="n">
        <v>-1.6343</v>
      </c>
      <c r="L122" s="20" t="n">
        <v>-0.1204</v>
      </c>
      <c r="M122" s="20" t="n">
        <v>0.6191</v>
      </c>
      <c r="N122" s="20" t="n">
        <v>-0.5824</v>
      </c>
      <c r="O122" s="20" t="n">
        <v>-0.9903</v>
      </c>
      <c r="P122" s="20" t="n">
        <v>0.6039</v>
      </c>
      <c r="Q122" s="20" t="n">
        <v>-0.7438</v>
      </c>
    </row>
    <row r="123" ht="19" customHeight="1">
      <c r="A123" s="13" t="inlineStr">
        <is>
          <t>WINE-121</t>
        </is>
      </c>
      <c r="B123" s="19" t="n">
        <v>-1.9154</v>
      </c>
      <c r="C123" s="19" t="n">
        <v>0.0571</v>
      </c>
      <c r="D123" s="19" t="n">
        <v>0.1955</v>
      </c>
      <c r="E123" s="19" t="n">
        <v>0.1517</v>
      </c>
      <c r="F123" s="19" t="n">
        <v>-0.2627</v>
      </c>
      <c r="G123" s="19" t="n">
        <v>0.9692</v>
      </c>
      <c r="H123" s="19" t="n">
        <v>0.7637</v>
      </c>
      <c r="I123" s="19" t="n">
        <v>-0.3373</v>
      </c>
      <c r="J123" s="19" t="n">
        <v>0.4189</v>
      </c>
      <c r="K123" s="19" t="n">
        <v>-0.7821</v>
      </c>
      <c r="L123" s="19" t="n">
        <v>-0.6908</v>
      </c>
      <c r="M123" s="19" t="n">
        <v>1.0993</v>
      </c>
      <c r="N123" s="19" t="n">
        <v>-0.3882</v>
      </c>
      <c r="O123" s="19" t="n">
        <v>0.9877</v>
      </c>
      <c r="P123" s="19" t="n">
        <v>-0.7329</v>
      </c>
      <c r="Q123" s="19" t="n">
        <v>-0.5755</v>
      </c>
    </row>
    <row r="124" ht="19" customHeight="1">
      <c r="A124" s="16" t="inlineStr">
        <is>
          <t>WINE-122</t>
        </is>
      </c>
      <c r="B124" s="20" t="n">
        <v>-1.7795</v>
      </c>
      <c r="C124" s="20" t="n">
        <v>-0.257</v>
      </c>
      <c r="D124" s="20" t="n">
        <v>3.1563</v>
      </c>
      <c r="E124" s="20" t="n">
        <v>2.7041</v>
      </c>
      <c r="F124" s="20" t="n">
        <v>1.3522</v>
      </c>
      <c r="G124" s="20" t="n">
        <v>1.4179</v>
      </c>
      <c r="H124" s="20" t="n">
        <v>3.0628</v>
      </c>
      <c r="I124" s="20" t="n">
        <v>0.8714</v>
      </c>
      <c r="J124" s="20" t="n">
        <v>0.489</v>
      </c>
      <c r="K124" s="20" t="n">
        <v>0.4074</v>
      </c>
      <c r="L124" s="20" t="n">
        <v>-0.1204</v>
      </c>
      <c r="M124" s="20" t="n">
        <v>1.5231</v>
      </c>
      <c r="N124" s="20" t="n">
        <v>-0.8977000000000001</v>
      </c>
      <c r="O124" s="20" t="n">
        <v>-0.5249</v>
      </c>
      <c r="P124" s="20" t="n">
        <v>0.3863</v>
      </c>
      <c r="Q124" s="20" t="n">
        <v>-1.3608</v>
      </c>
    </row>
    <row r="125" ht="19" customHeight="1">
      <c r="A125" s="13" t="inlineStr">
        <is>
          <t>WINE-123</t>
        </is>
      </c>
      <c r="B125" s="19" t="n">
        <v>-0.7171999999999999</v>
      </c>
      <c r="C125" s="19" t="n">
        <v>1.8794</v>
      </c>
      <c r="D125" s="19" t="n">
        <v>1.3287</v>
      </c>
      <c r="E125" s="19" t="n">
        <v>2.1035</v>
      </c>
      <c r="F125" s="19" t="n">
        <v>0.1586</v>
      </c>
      <c r="G125" s="19" t="n">
        <v>-0.1524</v>
      </c>
      <c r="H125" s="19" t="n">
        <v>0.1011</v>
      </c>
      <c r="I125" s="19" t="n">
        <v>0.5491</v>
      </c>
      <c r="J125" s="19" t="n">
        <v>0.2087</v>
      </c>
      <c r="K125" s="19" t="n">
        <v>-1.2882</v>
      </c>
      <c r="L125" s="19" t="n">
        <v>-0.1643</v>
      </c>
      <c r="M125" s="19" t="n">
        <v>0.718</v>
      </c>
      <c r="N125" s="19" t="n">
        <v>-1.2161</v>
      </c>
      <c r="O125" s="19" t="n">
        <v>-0.6412</v>
      </c>
      <c r="P125" s="19" t="n">
        <v>-1.2147</v>
      </c>
      <c r="Q125" s="19" t="n">
        <v>-0.912</v>
      </c>
    </row>
    <row r="126" ht="19" customHeight="1">
      <c r="A126" s="16" t="inlineStr">
        <is>
          <t>WINE-124</t>
        </is>
      </c>
      <c r="B126" s="20" t="n">
        <v>0.061</v>
      </c>
      <c r="C126" s="20" t="n">
        <v>3.1092</v>
      </c>
      <c r="D126" s="20" t="n">
        <v>-0.8645</v>
      </c>
      <c r="E126" s="20" t="n">
        <v>0.6021</v>
      </c>
      <c r="F126" s="20" t="n">
        <v>-0.9648</v>
      </c>
      <c r="G126" s="20" t="n">
        <v>0.5206</v>
      </c>
      <c r="H126" s="20" t="n">
        <v>0.6232</v>
      </c>
      <c r="I126" s="20" t="n">
        <v>-0.4984</v>
      </c>
      <c r="J126" s="20" t="n">
        <v>0.7343</v>
      </c>
      <c r="K126" s="20" t="n">
        <v>-1.0633</v>
      </c>
      <c r="L126" s="20" t="n">
        <v>-0.9979</v>
      </c>
      <c r="M126" s="20" t="n">
        <v>0.6897</v>
      </c>
      <c r="N126" s="20" t="n">
        <v>-1.1684</v>
      </c>
      <c r="O126" s="20" t="n">
        <v>-0.9903</v>
      </c>
      <c r="P126" s="20" t="n">
        <v>-0.1655</v>
      </c>
      <c r="Q126" s="20" t="n">
        <v>-1.3047</v>
      </c>
    </row>
    <row r="127" ht="19" customHeight="1">
      <c r="A127" s="13" t="inlineStr">
        <is>
          <t>WINE-125</t>
        </is>
      </c>
      <c r="B127" s="19" t="n">
        <v>-1.3966</v>
      </c>
      <c r="C127" s="19" t="n">
        <v>1.7717</v>
      </c>
      <c r="D127" s="19" t="n">
        <v>0.0858</v>
      </c>
      <c r="E127" s="19" t="n">
        <v>0.4519</v>
      </c>
      <c r="F127" s="19" t="n">
        <v>-1.2457</v>
      </c>
      <c r="G127" s="19" t="n">
        <v>0.9051</v>
      </c>
      <c r="H127" s="19" t="n">
        <v>1.0047</v>
      </c>
      <c r="I127" s="19" t="n">
        <v>-1.2236</v>
      </c>
      <c r="J127" s="19" t="n">
        <v>2.3112</v>
      </c>
      <c r="K127" s="19" t="n">
        <v>-0.9768</v>
      </c>
      <c r="L127" s="19" t="n">
        <v>-0.9102</v>
      </c>
      <c r="M127" s="19" t="n">
        <v>1.4524</v>
      </c>
      <c r="N127" s="19" t="n">
        <v>-1.1684</v>
      </c>
      <c r="O127" s="19" t="n">
        <v>-1.8047</v>
      </c>
      <c r="P127" s="19" t="n">
        <v>0.464</v>
      </c>
      <c r="Q127" s="19" t="n">
        <v>-0.9681</v>
      </c>
    </row>
    <row r="128" ht="19" customHeight="1">
      <c r="A128" s="16" t="inlineStr">
        <is>
          <t>WINE-126</t>
        </is>
      </c>
      <c r="B128" s="20" t="n">
        <v>-1.1496</v>
      </c>
      <c r="C128" s="20" t="n">
        <v>-0.1583</v>
      </c>
      <c r="D128" s="20" t="n">
        <v>-0.7183</v>
      </c>
      <c r="E128" s="20" t="n">
        <v>0.4519</v>
      </c>
      <c r="F128" s="20" t="n">
        <v>-1.0351</v>
      </c>
      <c r="G128" s="20" t="n">
        <v>0.4885</v>
      </c>
      <c r="H128" s="20" t="n">
        <v>0.6232</v>
      </c>
      <c r="I128" s="20" t="n">
        <v>0.06560000000000001</v>
      </c>
      <c r="J128" s="20" t="n">
        <v>-0.4221</v>
      </c>
      <c r="K128" s="20" t="n">
        <v>-0.9941</v>
      </c>
      <c r="L128" s="20" t="n">
        <v>-0.4275</v>
      </c>
      <c r="M128" s="20" t="n">
        <v>0.944</v>
      </c>
      <c r="N128" s="20" t="n">
        <v>-1.1747</v>
      </c>
      <c r="O128" s="20" t="n">
        <v>-0.0013</v>
      </c>
      <c r="P128" s="20" t="n">
        <v>-1.2302</v>
      </c>
      <c r="Q128" s="20" t="n">
        <v>1.1074</v>
      </c>
    </row>
    <row r="129" ht="19" customHeight="1">
      <c r="A129" s="13" t="inlineStr">
        <is>
          <t>WINE-127</t>
        </is>
      </c>
      <c r="B129" s="19" t="n">
        <v>-0.7049</v>
      </c>
      <c r="C129" s="19" t="n">
        <v>-0.7238</v>
      </c>
      <c r="D129" s="19" t="n">
        <v>-0.2797</v>
      </c>
      <c r="E129" s="19" t="n">
        <v>0.6021</v>
      </c>
      <c r="F129" s="19" t="n">
        <v>-0.9648</v>
      </c>
      <c r="G129" s="19" t="n">
        <v>0.7129</v>
      </c>
      <c r="H129" s="19" t="n">
        <v>1.1252</v>
      </c>
      <c r="I129" s="19" t="n">
        <v>0.2268</v>
      </c>
      <c r="J129" s="19" t="n">
        <v>0.3138</v>
      </c>
      <c r="K129" s="19" t="n">
        <v>-0.4837</v>
      </c>
      <c r="L129" s="19" t="n">
        <v>-1.1734</v>
      </c>
      <c r="M129" s="19" t="n">
        <v>0.3225</v>
      </c>
      <c r="N129" s="19" t="n">
        <v>-1.2575</v>
      </c>
      <c r="O129" s="19" t="n">
        <v>-2.5028</v>
      </c>
      <c r="P129" s="19" t="n">
        <v>-0.7251</v>
      </c>
      <c r="Q129" s="19" t="n">
        <v>-0.912</v>
      </c>
    </row>
    <row r="130" ht="19" customHeight="1">
      <c r="A130" s="16" t="inlineStr">
        <is>
          <t>WINE-128</t>
        </is>
      </c>
      <c r="B130" s="20" t="n">
        <v>-1.4954</v>
      </c>
      <c r="C130" s="20" t="n">
        <v>-0.1852</v>
      </c>
      <c r="D130" s="20" t="n">
        <v>1.5114</v>
      </c>
      <c r="E130" s="20" t="n">
        <v>2.7041</v>
      </c>
      <c r="F130" s="20" t="n">
        <v>-0.5436</v>
      </c>
      <c r="G130" s="20" t="n">
        <v>-0.2646</v>
      </c>
      <c r="H130" s="20" t="n">
        <v>0.2116</v>
      </c>
      <c r="I130" s="20" t="n">
        <v>1.7578</v>
      </c>
      <c r="J130" s="20" t="n">
        <v>0.2963</v>
      </c>
      <c r="K130" s="20" t="n">
        <v>-0.8903</v>
      </c>
      <c r="L130" s="20" t="n">
        <v>0.0551</v>
      </c>
      <c r="M130" s="20" t="n">
        <v>-0.2425</v>
      </c>
      <c r="N130" s="20" t="n">
        <v>-0.8945</v>
      </c>
      <c r="O130" s="20" t="n">
        <v>-0.8739</v>
      </c>
      <c r="P130" s="20" t="n">
        <v>-0.1655</v>
      </c>
      <c r="Q130" s="20" t="n">
        <v>2.6782</v>
      </c>
    </row>
    <row r="131" ht="19" customHeight="1">
      <c r="A131" s="13" t="inlineStr">
        <is>
          <t>WINE-129</t>
        </is>
      </c>
      <c r="B131" s="19" t="n">
        <v>-0.779</v>
      </c>
      <c r="C131" s="19" t="n">
        <v>-0.6341</v>
      </c>
      <c r="D131" s="19" t="n">
        <v>-0.2431</v>
      </c>
      <c r="E131" s="19" t="n">
        <v>1.5029</v>
      </c>
      <c r="F131" s="19" t="n">
        <v>-0.8244</v>
      </c>
      <c r="G131" s="19" t="n">
        <v>-0.1204</v>
      </c>
      <c r="H131" s="19" t="n">
        <v>0.4224</v>
      </c>
      <c r="I131" s="19" t="n">
        <v>0.3074</v>
      </c>
      <c r="J131" s="19" t="n">
        <v>0.5416</v>
      </c>
      <c r="K131" s="19" t="n">
        <v>-1.2709</v>
      </c>
      <c r="L131" s="19" t="n">
        <v>-0.2959</v>
      </c>
      <c r="M131" s="19" t="n">
        <v>0.2377</v>
      </c>
      <c r="N131" s="19" t="n">
        <v>-1.2894</v>
      </c>
      <c r="O131" s="19" t="n">
        <v>0.0569</v>
      </c>
      <c r="P131" s="19" t="n">
        <v>0.9381</v>
      </c>
      <c r="Q131" s="19" t="n">
        <v>0.5465</v>
      </c>
    </row>
    <row r="132" ht="19" customHeight="1">
      <c r="A132" s="16" t="inlineStr">
        <is>
          <t>WINE-130</t>
        </is>
      </c>
      <c r="B132" s="20" t="n">
        <v>-1.1866</v>
      </c>
      <c r="C132" s="20" t="n">
        <v>1.7627</v>
      </c>
      <c r="D132" s="20" t="n">
        <v>0.0493</v>
      </c>
      <c r="E132" s="20" t="n">
        <v>0.7522</v>
      </c>
      <c r="F132" s="20" t="n">
        <v>-1.3861</v>
      </c>
      <c r="G132" s="20" t="n">
        <v>-0.3126</v>
      </c>
      <c r="H132" s="20" t="n">
        <v>-0.2804</v>
      </c>
      <c r="I132" s="20" t="n">
        <v>0.4685</v>
      </c>
      <c r="J132" s="20" t="n">
        <v>-0.4221</v>
      </c>
      <c r="K132" s="20" t="n">
        <v>-1.0633</v>
      </c>
      <c r="L132" s="20" t="n">
        <v>-0.7347</v>
      </c>
      <c r="M132" s="20" t="n">
        <v>-0.0589</v>
      </c>
      <c r="N132" s="20" t="n">
        <v>-0.5315</v>
      </c>
      <c r="O132" s="20" t="n">
        <v>-2.0374</v>
      </c>
      <c r="P132" s="20" t="n">
        <v>-0.6707</v>
      </c>
      <c r="Q132" s="20" t="n">
        <v>0.2099</v>
      </c>
    </row>
    <row r="133" ht="19" customHeight="1">
      <c r="A133" s="13" t="inlineStr">
        <is>
          <t>WINE-131</t>
        </is>
      </c>
      <c r="B133" s="19" t="n">
        <v>-0.1737</v>
      </c>
      <c r="C133" s="19" t="n">
        <v>-0.8854</v>
      </c>
      <c r="D133" s="19" t="n">
        <v>-0.17</v>
      </c>
      <c r="E133" s="19" t="n">
        <v>-0.4489</v>
      </c>
      <c r="F133" s="19" t="n">
        <v>1.5628</v>
      </c>
      <c r="G133" s="19" t="n">
        <v>-1.258</v>
      </c>
      <c r="H133" s="19" t="n">
        <v>-0.7824</v>
      </c>
      <c r="I133" s="19" t="n">
        <v>-1.2236</v>
      </c>
      <c r="J133" s="19" t="n">
        <v>-1.1404</v>
      </c>
      <c r="K133" s="19" t="n">
        <v>-0.4144</v>
      </c>
      <c r="L133" s="19" t="n">
        <v>-0.8663</v>
      </c>
      <c r="M133" s="19" t="n">
        <v>-1.8668</v>
      </c>
      <c r="N133" s="19" t="n">
        <v>-0.3722</v>
      </c>
      <c r="O133" s="19" t="n">
        <v>1.8021</v>
      </c>
      <c r="P133" s="19" t="n">
        <v>0.3396</v>
      </c>
      <c r="Q133" s="19" t="n">
        <v>-0.7999000000000001</v>
      </c>
    </row>
    <row r="134" ht="19" customHeight="1">
      <c r="A134" s="16" t="inlineStr">
        <is>
          <t>WINE-132</t>
        </is>
      </c>
      <c r="B134" s="20" t="n">
        <v>-0.149</v>
      </c>
      <c r="C134" s="20" t="n">
        <v>0.5868</v>
      </c>
      <c r="D134" s="20" t="n">
        <v>0.1224</v>
      </c>
      <c r="E134" s="20" t="n">
        <v>0.1517</v>
      </c>
      <c r="F134" s="20" t="n">
        <v>0.299</v>
      </c>
      <c r="G134" s="20" t="n">
        <v>-1.5945</v>
      </c>
      <c r="H134" s="20" t="n">
        <v>-0.8125</v>
      </c>
      <c r="I134" s="20" t="n">
        <v>-0.9819</v>
      </c>
      <c r="J134" s="20" t="n">
        <v>-1.3332</v>
      </c>
      <c r="K134" s="20" t="n">
        <v>0.1479</v>
      </c>
      <c r="L134" s="20" t="n">
        <v>-0.954</v>
      </c>
      <c r="M134" s="20" t="n">
        <v>-1.6832</v>
      </c>
      <c r="N134" s="20" t="n">
        <v>-0.6907</v>
      </c>
      <c r="O134" s="20" t="n">
        <v>-1.6302</v>
      </c>
      <c r="P134" s="20" t="n">
        <v>1.5909</v>
      </c>
      <c r="Q134" s="20" t="n">
        <v>0.7709</v>
      </c>
    </row>
    <row r="135" ht="19" customHeight="1">
      <c r="A135" s="13" t="inlineStr">
        <is>
          <t>WINE-133</t>
        </is>
      </c>
      <c r="B135" s="19" t="n">
        <v>-0.2355</v>
      </c>
      <c r="C135" s="19" t="n">
        <v>-0.0237</v>
      </c>
      <c r="D135" s="19" t="n">
        <v>0.1224</v>
      </c>
      <c r="E135" s="19" t="n">
        <v>1.3528</v>
      </c>
      <c r="F135" s="19" t="n">
        <v>-0.1223</v>
      </c>
      <c r="G135" s="19" t="n">
        <v>-1.8348</v>
      </c>
      <c r="H135" s="19" t="n">
        <v>-0.9429999999999999</v>
      </c>
      <c r="I135" s="19" t="n">
        <v>-0.7401</v>
      </c>
      <c r="J135" s="19" t="n">
        <v>-1.3332</v>
      </c>
      <c r="K135" s="19" t="n">
        <v>0.2777</v>
      </c>
      <c r="L135" s="19" t="n">
        <v>-1.305</v>
      </c>
      <c r="M135" s="19" t="n">
        <v>-1.7679</v>
      </c>
      <c r="N135" s="19" t="n">
        <v>-0.5952</v>
      </c>
      <c r="O135" s="19" t="n">
        <v>-0.4085</v>
      </c>
      <c r="P135" s="19" t="n">
        <v>0.394</v>
      </c>
      <c r="Q135" s="19" t="n">
        <v>-0.5194</v>
      </c>
    </row>
    <row r="136" ht="19" customHeight="1">
      <c r="A136" s="16" t="inlineStr">
        <is>
          <t>WINE-134</t>
        </is>
      </c>
      <c r="B136" s="20" t="n">
        <v>-0.3713</v>
      </c>
      <c r="C136" s="20" t="n">
        <v>1.0895</v>
      </c>
      <c r="D136" s="20" t="n">
        <v>-0.0238</v>
      </c>
      <c r="E136" s="20" t="n">
        <v>0.6021</v>
      </c>
      <c r="F136" s="20" t="n">
        <v>0.4394</v>
      </c>
      <c r="G136" s="20" t="n">
        <v>-0.9536</v>
      </c>
      <c r="H136" s="20" t="n">
        <v>-0.8326</v>
      </c>
      <c r="I136" s="20" t="n">
        <v>-1.5459</v>
      </c>
      <c r="J136" s="20" t="n">
        <v>-1.3156</v>
      </c>
      <c r="K136" s="20" t="n">
        <v>-0.0251</v>
      </c>
      <c r="L136" s="20" t="n">
        <v>-0.7785</v>
      </c>
      <c r="M136" s="20" t="n">
        <v>-1.8668</v>
      </c>
      <c r="N136" s="20" t="n">
        <v>-0.4678</v>
      </c>
      <c r="O136" s="20" t="n">
        <v>-0.5249</v>
      </c>
      <c r="P136" s="20" t="n">
        <v>-0.3831</v>
      </c>
      <c r="Q136" s="20" t="n">
        <v>0.1538</v>
      </c>
    </row>
    <row r="137" ht="19" customHeight="1">
      <c r="A137" s="13" t="inlineStr">
        <is>
          <t>WINE-135</t>
        </is>
      </c>
      <c r="B137" s="19" t="n">
        <v>-0.606</v>
      </c>
      <c r="C137" s="19" t="n">
        <v>-0.9842</v>
      </c>
      <c r="D137" s="19" t="n">
        <v>-0.4259</v>
      </c>
      <c r="E137" s="19" t="n">
        <v>-0.5991</v>
      </c>
      <c r="F137" s="19" t="n">
        <v>-1.0351</v>
      </c>
      <c r="G137" s="19" t="n">
        <v>-0.4729</v>
      </c>
      <c r="H137" s="19" t="n">
        <v>-1.455</v>
      </c>
      <c r="I137" s="19" t="n">
        <v>1.9189</v>
      </c>
      <c r="J137" s="19" t="n">
        <v>-0.5973000000000001</v>
      </c>
      <c r="K137" s="19" t="n">
        <v>0.1695</v>
      </c>
      <c r="L137" s="19" t="n">
        <v>-0.9102</v>
      </c>
      <c r="M137" s="19" t="n">
        <v>-1.5561</v>
      </c>
      <c r="N137" s="19" t="n">
        <v>-0.3086</v>
      </c>
      <c r="O137" s="19" t="n">
        <v>1.6858</v>
      </c>
      <c r="P137" s="19" t="n">
        <v>0.1609</v>
      </c>
      <c r="Q137" s="19" t="n">
        <v>2.6221</v>
      </c>
    </row>
    <row r="138" ht="19" customHeight="1">
      <c r="A138" s="16" t="inlineStr">
        <is>
          <t>WINE-136</t>
        </is>
      </c>
      <c r="B138" s="20" t="n">
        <v>-0.4949</v>
      </c>
      <c r="C138" s="20" t="n">
        <v>0.111</v>
      </c>
      <c r="D138" s="20" t="n">
        <v>-0.6087</v>
      </c>
      <c r="E138" s="20" t="n">
        <v>-0.2988</v>
      </c>
      <c r="F138" s="20" t="n">
        <v>-0.4031</v>
      </c>
      <c r="G138" s="20" t="n">
        <v>-1.0818</v>
      </c>
      <c r="H138" s="20" t="n">
        <v>-1.3747</v>
      </c>
      <c r="I138" s="20" t="n">
        <v>2.1607</v>
      </c>
      <c r="J138" s="20" t="n">
        <v>-1.1404</v>
      </c>
      <c r="K138" s="20" t="n">
        <v>0.8833</v>
      </c>
      <c r="L138" s="20" t="n">
        <v>-0.9979</v>
      </c>
      <c r="M138" s="20" t="n">
        <v>-1.4572</v>
      </c>
      <c r="N138" s="20" t="n">
        <v>-0.1653</v>
      </c>
      <c r="O138" s="20" t="n">
        <v>-1.3975</v>
      </c>
      <c r="P138" s="20" t="n">
        <v>-0.694</v>
      </c>
      <c r="Q138" s="20" t="n">
        <v>-0.0706</v>
      </c>
    </row>
    <row r="139" ht="19" customHeight="1">
      <c r="A139" s="13" t="inlineStr">
        <is>
          <t>WINE-137</t>
        </is>
      </c>
      <c r="B139" s="19" t="n">
        <v>-0.9272</v>
      </c>
      <c r="C139" s="19" t="n">
        <v>2.1397</v>
      </c>
      <c r="D139" s="19" t="n">
        <v>0.6341</v>
      </c>
      <c r="E139" s="19" t="n">
        <v>0.4519</v>
      </c>
      <c r="F139" s="19" t="n">
        <v>-0.7542</v>
      </c>
      <c r="G139" s="19" t="n">
        <v>-1.4663</v>
      </c>
      <c r="H139" s="19" t="n">
        <v>-1.5655</v>
      </c>
      <c r="I139" s="19" t="n">
        <v>1.3549</v>
      </c>
      <c r="J139" s="19" t="n">
        <v>-1.3857</v>
      </c>
      <c r="K139" s="19" t="n">
        <v>-0.5226</v>
      </c>
      <c r="L139" s="19" t="n">
        <v>-0.9102</v>
      </c>
      <c r="M139" s="19" t="n">
        <v>-1.8951</v>
      </c>
      <c r="N139" s="19" t="n">
        <v>-0.0856</v>
      </c>
      <c r="O139" s="19" t="n">
        <v>-0.1758</v>
      </c>
      <c r="P139" s="19" t="n">
        <v>-0.1267</v>
      </c>
      <c r="Q139" s="19" t="n">
        <v>1.2196</v>
      </c>
    </row>
    <row r="140" ht="19" customHeight="1">
      <c r="A140" s="16" t="inlineStr">
        <is>
          <t>WINE-138</t>
        </is>
      </c>
      <c r="B140" s="20" t="n">
        <v>-0.5813</v>
      </c>
      <c r="C140" s="20" t="n">
        <v>2.8489</v>
      </c>
      <c r="D140" s="20" t="n">
        <v>0.9997</v>
      </c>
      <c r="E140" s="20" t="n">
        <v>1.6531</v>
      </c>
      <c r="F140" s="20" t="n">
        <v>-0.2627</v>
      </c>
      <c r="G140" s="20" t="n">
        <v>-0.8094</v>
      </c>
      <c r="H140" s="20" t="n">
        <v>-1.4349</v>
      </c>
      <c r="I140" s="20" t="n">
        <v>2.1607</v>
      </c>
      <c r="J140" s="20" t="n">
        <v>-0.8601</v>
      </c>
      <c r="K140" s="20" t="n">
        <v>-0.0251</v>
      </c>
      <c r="L140" s="20" t="n">
        <v>-0.603</v>
      </c>
      <c r="M140" s="20" t="n">
        <v>-1.3018</v>
      </c>
      <c r="N140" s="20" t="n">
        <v>-0.7385</v>
      </c>
      <c r="O140" s="20" t="n">
        <v>-1.5138</v>
      </c>
      <c r="P140" s="20" t="n">
        <v>-0.3443</v>
      </c>
      <c r="Q140" s="20" t="n">
        <v>-0.6877</v>
      </c>
    </row>
    <row r="141" ht="19" customHeight="1">
      <c r="A141" s="13" t="inlineStr">
        <is>
          <t>WINE-139</t>
        </is>
      </c>
      <c r="B141" s="19" t="n">
        <v>0.6045</v>
      </c>
      <c r="C141" s="19" t="n">
        <v>1.1254</v>
      </c>
      <c r="D141" s="19" t="n">
        <v>-0.6452</v>
      </c>
      <c r="E141" s="19" t="n">
        <v>0.0015</v>
      </c>
      <c r="F141" s="19" t="n">
        <v>-0.8244</v>
      </c>
      <c r="G141" s="19" t="n">
        <v>-1.0818</v>
      </c>
      <c r="H141" s="19" t="n">
        <v>-1.5554</v>
      </c>
      <c r="I141" s="19" t="n">
        <v>1.7578</v>
      </c>
      <c r="J141" s="19" t="n">
        <v>-1.2456</v>
      </c>
      <c r="K141" s="19" t="n">
        <v>0.2777</v>
      </c>
      <c r="L141" s="19" t="n">
        <v>-0.6469</v>
      </c>
      <c r="M141" s="19" t="n">
        <v>-1.1182</v>
      </c>
      <c r="N141" s="19" t="n">
        <v>-0.5315</v>
      </c>
      <c r="O141" s="19" t="n">
        <v>-1.5138</v>
      </c>
      <c r="P141" s="19" t="n">
        <v>0.122</v>
      </c>
      <c r="Q141" s="19" t="n">
        <v>-0.0145</v>
      </c>
    </row>
    <row r="142" ht="19" customHeight="1">
      <c r="A142" s="16" t="inlineStr">
        <is>
          <t>WINE-140</t>
        </is>
      </c>
      <c r="B142" s="20" t="n">
        <v>-0.1984</v>
      </c>
      <c r="C142" s="20" t="n">
        <v>0.5598</v>
      </c>
      <c r="D142" s="20" t="n">
        <v>0.89</v>
      </c>
      <c r="E142" s="20" t="n">
        <v>1.3528</v>
      </c>
      <c r="F142" s="20" t="n">
        <v>0.08840000000000001</v>
      </c>
      <c r="G142" s="20" t="n">
        <v>0.0399</v>
      </c>
      <c r="H142" s="20" t="n">
        <v>-1.4349</v>
      </c>
      <c r="I142" s="20" t="n">
        <v>1.3549</v>
      </c>
      <c r="J142" s="20" t="n">
        <v>-1.3682</v>
      </c>
      <c r="K142" s="20" t="n">
        <v>-0.0597</v>
      </c>
      <c r="L142" s="20" t="n">
        <v>-0.2959</v>
      </c>
      <c r="M142" s="20" t="n">
        <v>-0.6521</v>
      </c>
      <c r="N142" s="20" t="n">
        <v>-0.4996</v>
      </c>
      <c r="O142" s="20" t="n">
        <v>0.0569</v>
      </c>
      <c r="P142" s="20" t="n">
        <v>-0.5541</v>
      </c>
      <c r="Q142" s="20" t="n">
        <v>1.8367</v>
      </c>
    </row>
    <row r="143" ht="19" customHeight="1">
      <c r="A143" s="13" t="inlineStr">
        <is>
          <t>WINE-141</t>
        </is>
      </c>
      <c r="B143" s="19" t="n">
        <v>-0.0872</v>
      </c>
      <c r="C143" s="19" t="n">
        <v>0.4252</v>
      </c>
      <c r="D143" s="19" t="n">
        <v>1.219</v>
      </c>
      <c r="E143" s="19" t="n">
        <v>0.4519</v>
      </c>
      <c r="F143" s="19" t="n">
        <v>-0.2627</v>
      </c>
      <c r="G143" s="19" t="n">
        <v>-1.2099</v>
      </c>
      <c r="H143" s="19" t="n">
        <v>-1.5353</v>
      </c>
      <c r="I143" s="19" t="n">
        <v>1.3549</v>
      </c>
      <c r="J143" s="19" t="n">
        <v>-1.4733</v>
      </c>
      <c r="K143" s="19" t="n">
        <v>-0.1982</v>
      </c>
      <c r="L143" s="19" t="n">
        <v>-0.8224</v>
      </c>
      <c r="M143" s="19" t="n">
        <v>-0.4261</v>
      </c>
      <c r="N143" s="19" t="n">
        <v>-0.4678</v>
      </c>
      <c r="O143" s="19" t="n">
        <v>-0.1177</v>
      </c>
      <c r="P143" s="19" t="n">
        <v>0.1842</v>
      </c>
      <c r="Q143" s="19" t="n">
        <v>-0.5755</v>
      </c>
    </row>
    <row r="144" ht="19" customHeight="1">
      <c r="A144" s="16" t="inlineStr">
        <is>
          <t>WINE-142</t>
        </is>
      </c>
      <c r="B144" s="20" t="n">
        <v>0.4439</v>
      </c>
      <c r="C144" s="20" t="n">
        <v>0.2008</v>
      </c>
      <c r="D144" s="20" t="n">
        <v>-0.0604</v>
      </c>
      <c r="E144" s="20" t="n">
        <v>0.1517</v>
      </c>
      <c r="F144" s="20" t="n">
        <v>-0.7542</v>
      </c>
      <c r="G144" s="20" t="n">
        <v>-1.4343</v>
      </c>
      <c r="H144" s="20" t="n">
        <v>-1.5353</v>
      </c>
      <c r="I144" s="20" t="n">
        <v>0.06560000000000001</v>
      </c>
      <c r="J144" s="20" t="n">
        <v>-1.6661</v>
      </c>
      <c r="K144" s="20" t="n">
        <v>0.2344</v>
      </c>
      <c r="L144" s="20" t="n">
        <v>-1.1295</v>
      </c>
      <c r="M144" s="20" t="n">
        <v>-0.2001</v>
      </c>
      <c r="N144" s="20" t="n">
        <v>0.1054</v>
      </c>
      <c r="O144" s="20" t="n">
        <v>-0.6994</v>
      </c>
      <c r="P144" s="20" t="n">
        <v>-0.5619</v>
      </c>
      <c r="Q144" s="20" t="n">
        <v>1.8928</v>
      </c>
    </row>
    <row r="145" ht="19" customHeight="1">
      <c r="A145" s="13" t="inlineStr">
        <is>
          <t>WINE-143</t>
        </is>
      </c>
      <c r="B145" s="19" t="n">
        <v>0.6415999999999999</v>
      </c>
      <c r="C145" s="19" t="n">
        <v>0.7483</v>
      </c>
      <c r="D145" s="19" t="n">
        <v>1.2921</v>
      </c>
      <c r="E145" s="19" t="n">
        <v>1.2027</v>
      </c>
      <c r="F145" s="19" t="n">
        <v>-0.1925</v>
      </c>
      <c r="G145" s="19" t="n">
        <v>-1.1939</v>
      </c>
      <c r="H145" s="19" t="n">
        <v>-1.5153</v>
      </c>
      <c r="I145" s="19" t="n">
        <v>1.1132</v>
      </c>
      <c r="J145" s="19" t="n">
        <v>-1.8237</v>
      </c>
      <c r="K145" s="19" t="n">
        <v>-0.3063</v>
      </c>
      <c r="L145" s="19" t="n">
        <v>-0.2959</v>
      </c>
      <c r="M145" s="19" t="n">
        <v>-0.7792</v>
      </c>
      <c r="N145" s="19" t="n">
        <v>-0.7225</v>
      </c>
      <c r="O145" s="19" t="n">
        <v>-0.4085</v>
      </c>
      <c r="P145" s="19" t="n">
        <v>0.7514999999999999</v>
      </c>
      <c r="Q145" s="19" t="n">
        <v>0.7709</v>
      </c>
    </row>
    <row r="146" ht="19" customHeight="1">
      <c r="A146" s="16" t="inlineStr">
        <is>
          <t>WINE-144</t>
        </is>
      </c>
      <c r="B146" s="20" t="n">
        <v>0.7651</v>
      </c>
      <c r="C146" s="20" t="n">
        <v>2.3462</v>
      </c>
      <c r="D146" s="20" t="n">
        <v>-0.0604</v>
      </c>
      <c r="E146" s="20" t="n">
        <v>0.1517</v>
      </c>
      <c r="F146" s="20" t="n">
        <v>-0.5436</v>
      </c>
      <c r="G146" s="20" t="n">
        <v>-0.4729</v>
      </c>
      <c r="H146" s="20" t="n">
        <v>-1.2341</v>
      </c>
      <c r="I146" s="20" t="n">
        <v>0.8714</v>
      </c>
      <c r="J146" s="20" t="n">
        <v>-1.0003</v>
      </c>
      <c r="K146" s="20" t="n">
        <v>-0.2847</v>
      </c>
      <c r="L146" s="20" t="n">
        <v>-0.2082</v>
      </c>
      <c r="M146" s="20" t="n">
        <v>-0.7933</v>
      </c>
      <c r="N146" s="20" t="n">
        <v>-0.627</v>
      </c>
      <c r="O146" s="20" t="n">
        <v>-1.6302</v>
      </c>
      <c r="P146" s="20" t="n">
        <v>-0.4842</v>
      </c>
      <c r="Q146" s="20" t="n">
        <v>-0.5194</v>
      </c>
    </row>
    <row r="147" ht="19" customHeight="1">
      <c r="A147" s="13" t="inlineStr">
        <is>
          <t>WINE-145</t>
        </is>
      </c>
      <c r="B147" s="19" t="n">
        <v>-0.9272</v>
      </c>
      <c r="C147" s="19" t="n">
        <v>1.3857</v>
      </c>
      <c r="D147" s="19" t="n">
        <v>-0.6087</v>
      </c>
      <c r="E147" s="19" t="n">
        <v>-0.2988</v>
      </c>
      <c r="F147" s="19" t="n">
        <v>0.8607</v>
      </c>
      <c r="G147" s="19" t="n">
        <v>-1.4663</v>
      </c>
      <c r="H147" s="19" t="n">
        <v>-1.2542</v>
      </c>
      <c r="I147" s="19" t="n">
        <v>-0.579</v>
      </c>
      <c r="J147" s="19" t="n">
        <v>-0.79</v>
      </c>
      <c r="K147" s="19" t="n">
        <v>1.3634</v>
      </c>
      <c r="L147" s="19" t="n">
        <v>-1.3489</v>
      </c>
      <c r="M147" s="19" t="n">
        <v>-0.864</v>
      </c>
      <c r="N147" s="19" t="n">
        <v>0.3443</v>
      </c>
      <c r="O147" s="19" t="n">
        <v>-0.6994</v>
      </c>
      <c r="P147" s="19" t="n">
        <v>-1.3468</v>
      </c>
      <c r="Q147" s="19" t="n">
        <v>0.6587</v>
      </c>
    </row>
    <row r="148" ht="19" customHeight="1">
      <c r="A148" s="16" t="inlineStr">
        <is>
          <t>WINE-146</t>
        </is>
      </c>
      <c r="B148" s="20" t="n">
        <v>0.1969</v>
      </c>
      <c r="C148" s="20" t="n">
        <v>1.1074</v>
      </c>
      <c r="D148" s="20" t="n">
        <v>-0.7914</v>
      </c>
      <c r="E148" s="20" t="n">
        <v>0.4519</v>
      </c>
      <c r="F148" s="20" t="n">
        <v>0.1586</v>
      </c>
      <c r="G148" s="20" t="n">
        <v>-1.274</v>
      </c>
      <c r="H148" s="20" t="n">
        <v>-1.4851</v>
      </c>
      <c r="I148" s="20" t="n">
        <v>0.5491</v>
      </c>
      <c r="J148" s="20" t="n">
        <v>-0.5097</v>
      </c>
      <c r="K148" s="20" t="n">
        <v>-0.4577</v>
      </c>
      <c r="L148" s="20" t="n">
        <v>-1.5683</v>
      </c>
      <c r="M148" s="20" t="n">
        <v>-1.316</v>
      </c>
      <c r="N148" s="20" t="n">
        <v>0.2647</v>
      </c>
      <c r="O148" s="20" t="n">
        <v>-0.0595</v>
      </c>
      <c r="P148" s="20" t="n">
        <v>-0.9349</v>
      </c>
      <c r="Q148" s="20" t="n">
        <v>1.0513</v>
      </c>
    </row>
    <row r="149" ht="19" customHeight="1">
      <c r="A149" s="13" t="inlineStr">
        <is>
          <t>WINE-147</t>
        </is>
      </c>
      <c r="B149" s="19" t="n">
        <v>1.0863</v>
      </c>
      <c r="C149" s="19" t="n">
        <v>2.427</v>
      </c>
      <c r="D149" s="19" t="n">
        <v>-0.499</v>
      </c>
      <c r="E149" s="19" t="n">
        <v>0.1517</v>
      </c>
      <c r="F149" s="19" t="n">
        <v>-1.3861</v>
      </c>
      <c r="G149" s="19" t="n">
        <v>-2.1072</v>
      </c>
      <c r="H149" s="19" t="n">
        <v>-1.696</v>
      </c>
      <c r="I149" s="19" t="n">
        <v>0.3074</v>
      </c>
      <c r="J149" s="19" t="n">
        <v>-1.596</v>
      </c>
      <c r="K149" s="19" t="n">
        <v>-0.0684</v>
      </c>
      <c r="L149" s="19" t="n">
        <v>-1.656</v>
      </c>
      <c r="M149" s="19" t="n">
        <v>-1.8103</v>
      </c>
      <c r="N149" s="19" t="n">
        <v>-1.0569</v>
      </c>
      <c r="O149" s="19" t="n">
        <v>0.0569</v>
      </c>
      <c r="P149" s="19" t="n">
        <v>-0.1888</v>
      </c>
      <c r="Q149" s="19" t="n">
        <v>0.6587</v>
      </c>
    </row>
    <row r="150" ht="19" customHeight="1">
      <c r="A150" s="16" t="inlineStr">
        <is>
          <t>WINE-148</t>
        </is>
      </c>
      <c r="B150" s="20" t="n">
        <v>-0.1613</v>
      </c>
      <c r="C150" s="20" t="n">
        <v>2.041</v>
      </c>
      <c r="D150" s="20" t="n">
        <v>0.4148</v>
      </c>
      <c r="E150" s="20" t="n">
        <v>0.6021</v>
      </c>
      <c r="F150" s="20" t="n">
        <v>-0.9648</v>
      </c>
      <c r="G150" s="20" t="n">
        <v>-0.9536</v>
      </c>
      <c r="H150" s="20" t="n">
        <v>-1.3847</v>
      </c>
      <c r="I150" s="20" t="n">
        <v>0.8714</v>
      </c>
      <c r="J150" s="20" t="n">
        <v>-1.2806</v>
      </c>
      <c r="K150" s="20" t="n">
        <v>1.1212</v>
      </c>
      <c r="L150" s="20" t="n">
        <v>-1.8315</v>
      </c>
      <c r="M150" s="20" t="n">
        <v>-1.0617</v>
      </c>
      <c r="N150" s="20" t="n">
        <v>-0.3882</v>
      </c>
      <c r="O150" s="20" t="n">
        <v>-2.2119</v>
      </c>
      <c r="P150" s="20" t="n">
        <v>1.9795</v>
      </c>
      <c r="Q150" s="20" t="n">
        <v>-1.5291</v>
      </c>
    </row>
    <row r="151" ht="19" customHeight="1">
      <c r="A151" s="13" t="inlineStr">
        <is>
          <t>WINE-149</t>
        </is>
      </c>
      <c r="B151" s="19" t="n">
        <v>0.3945</v>
      </c>
      <c r="C151" s="19" t="n">
        <v>0.8112</v>
      </c>
      <c r="D151" s="19" t="n">
        <v>0.0493</v>
      </c>
      <c r="E151" s="19" t="n">
        <v>0.6021</v>
      </c>
      <c r="F151" s="19" t="n">
        <v>-0.5436</v>
      </c>
      <c r="G151" s="19" t="n">
        <v>-0.585</v>
      </c>
      <c r="H151" s="19" t="n">
        <v>-1.2743</v>
      </c>
      <c r="I151" s="19" t="n">
        <v>0.7103</v>
      </c>
      <c r="J151" s="19" t="n">
        <v>-0.5973000000000001</v>
      </c>
      <c r="K151" s="19" t="n">
        <v>1.4543</v>
      </c>
      <c r="L151" s="19" t="n">
        <v>-1.7876</v>
      </c>
      <c r="M151" s="19" t="n">
        <v>-1.4007</v>
      </c>
      <c r="N151" s="19" t="n">
        <v>-0.3086</v>
      </c>
      <c r="O151" s="19" t="n">
        <v>1.3949</v>
      </c>
      <c r="P151" s="19" t="n">
        <v>0.6971000000000001</v>
      </c>
      <c r="Q151" s="19" t="n">
        <v>-0.6877</v>
      </c>
    </row>
    <row r="152" ht="19" customHeight="1">
      <c r="A152" s="16" t="inlineStr">
        <is>
          <t>WINE-150</t>
        </is>
      </c>
      <c r="B152" s="20" t="n">
        <v>0.09810000000000001</v>
      </c>
      <c r="C152" s="20" t="n">
        <v>1.4036</v>
      </c>
      <c r="D152" s="20" t="n">
        <v>-0.0238</v>
      </c>
      <c r="E152" s="20" t="n">
        <v>0.6021</v>
      </c>
      <c r="F152" s="20" t="n">
        <v>0.9308999999999999</v>
      </c>
      <c r="G152" s="20" t="n">
        <v>-1.4182</v>
      </c>
      <c r="H152" s="20" t="n">
        <v>-0.6418</v>
      </c>
      <c r="I152" s="20" t="n">
        <v>-0.1761</v>
      </c>
      <c r="J152" s="20" t="n">
        <v>-0.79</v>
      </c>
      <c r="K152" s="20" t="n">
        <v>1.8782</v>
      </c>
      <c r="L152" s="20" t="n">
        <v>-1.6999</v>
      </c>
      <c r="M152" s="20" t="n">
        <v>-1.8103</v>
      </c>
      <c r="N152" s="20" t="n">
        <v>-0.627</v>
      </c>
      <c r="O152" s="20" t="n">
        <v>-2.5028</v>
      </c>
      <c r="P152" s="20" t="n">
        <v>-1.3857</v>
      </c>
      <c r="Q152" s="20" t="n">
        <v>-0.1828</v>
      </c>
    </row>
    <row r="153" ht="19" customHeight="1">
      <c r="A153" s="13" t="inlineStr">
        <is>
          <t>WINE-151</t>
        </is>
      </c>
      <c r="B153" s="19" t="n">
        <v>0.6169</v>
      </c>
      <c r="C153" s="19" t="n">
        <v>0.7035</v>
      </c>
      <c r="D153" s="19" t="n">
        <v>0.9266</v>
      </c>
      <c r="E153" s="19" t="n">
        <v>1.3528</v>
      </c>
      <c r="F153" s="19" t="n">
        <v>1.6331</v>
      </c>
      <c r="G153" s="19" t="n">
        <v>-1.4343</v>
      </c>
      <c r="H153" s="19" t="n">
        <v>-0.4611</v>
      </c>
      <c r="I153" s="19" t="n">
        <v>-1.143</v>
      </c>
      <c r="J153" s="19" t="n">
        <v>-0.5973000000000001</v>
      </c>
      <c r="K153" s="19" t="n">
        <v>1.5321</v>
      </c>
      <c r="L153" s="19" t="n">
        <v>-1.6121</v>
      </c>
      <c r="M153" s="19" t="n">
        <v>-1.8527</v>
      </c>
      <c r="N153" s="19" t="n">
        <v>-0.7862</v>
      </c>
      <c r="O153" s="19" t="n">
        <v>-0.5831</v>
      </c>
      <c r="P153" s="19" t="n">
        <v>-1.1603</v>
      </c>
      <c r="Q153" s="19" t="n">
        <v>-0.0145</v>
      </c>
    </row>
    <row r="154" ht="19" customHeight="1">
      <c r="A154" s="16" t="inlineStr">
        <is>
          <t>WINE-152</t>
        </is>
      </c>
      <c r="B154" s="20" t="n">
        <v>-0.2602</v>
      </c>
      <c r="C154" s="20" t="n">
        <v>0.2995</v>
      </c>
      <c r="D154" s="20" t="n">
        <v>0.4148</v>
      </c>
      <c r="E154" s="20" t="n">
        <v>0.7522</v>
      </c>
      <c r="F154" s="20" t="n">
        <v>0.8607</v>
      </c>
      <c r="G154" s="20" t="n">
        <v>-1.3061</v>
      </c>
      <c r="H154" s="20" t="n">
        <v>-0.6719000000000001</v>
      </c>
      <c r="I154" s="20" t="n">
        <v>-0.9819</v>
      </c>
      <c r="J154" s="20" t="n">
        <v>-0.5798</v>
      </c>
      <c r="K154" s="20" t="n">
        <v>2.4838</v>
      </c>
      <c r="L154" s="20" t="n">
        <v>-2.0947</v>
      </c>
      <c r="M154" s="20" t="n">
        <v>-1.6126</v>
      </c>
      <c r="N154" s="20" t="n">
        <v>-0.8499</v>
      </c>
      <c r="O154" s="20" t="n">
        <v>0.2896</v>
      </c>
      <c r="P154" s="20" t="n">
        <v>1.1324</v>
      </c>
      <c r="Q154" s="20" t="n">
        <v>0.6587</v>
      </c>
    </row>
    <row r="155" ht="19" customHeight="1">
      <c r="A155" s="13" t="inlineStr">
        <is>
          <t>WINE-153</t>
        </is>
      </c>
      <c r="B155" s="19" t="n">
        <v>0.1351</v>
      </c>
      <c r="C155" s="19" t="n">
        <v>-0.3917</v>
      </c>
      <c r="D155" s="19" t="n">
        <v>1.4018</v>
      </c>
      <c r="E155" s="19" t="n">
        <v>1.8032</v>
      </c>
      <c r="F155" s="19" t="n">
        <v>1.1416</v>
      </c>
      <c r="G155" s="19" t="n">
        <v>-0.1524</v>
      </c>
      <c r="H155" s="19" t="n">
        <v>-0.7522</v>
      </c>
      <c r="I155" s="19" t="n">
        <v>-0.8207</v>
      </c>
      <c r="J155" s="19" t="n">
        <v>-0.0541</v>
      </c>
      <c r="K155" s="19" t="n">
        <v>0.8833</v>
      </c>
      <c r="L155" s="19" t="n">
        <v>-1.5244</v>
      </c>
      <c r="M155" s="19" t="n">
        <v>-1.8103</v>
      </c>
      <c r="N155" s="19" t="n">
        <v>-1.0251</v>
      </c>
      <c r="O155" s="19" t="n">
        <v>0.4059</v>
      </c>
      <c r="P155" s="19" t="n">
        <v>0.4562</v>
      </c>
      <c r="Q155" s="19" t="n">
        <v>0.2099</v>
      </c>
    </row>
    <row r="156" ht="19" customHeight="1">
      <c r="A156" s="16" t="inlineStr">
        <is>
          <t>WINE-154</t>
        </is>
      </c>
      <c r="B156" s="20" t="n">
        <v>0.2833</v>
      </c>
      <c r="C156" s="20" t="n">
        <v>0.865</v>
      </c>
      <c r="D156" s="20" t="n">
        <v>-0.3162</v>
      </c>
      <c r="E156" s="20" t="n">
        <v>-0.2988</v>
      </c>
      <c r="F156" s="20" t="n">
        <v>-0.1223</v>
      </c>
      <c r="G156" s="20" t="n">
        <v>-0.7933</v>
      </c>
      <c r="H156" s="20" t="n">
        <v>-1.204</v>
      </c>
      <c r="I156" s="20" t="n">
        <v>1.9995</v>
      </c>
      <c r="J156" s="20" t="n">
        <v>0.489</v>
      </c>
      <c r="K156" s="20" t="n">
        <v>2.3627</v>
      </c>
      <c r="L156" s="20" t="n">
        <v>-1.7437</v>
      </c>
      <c r="M156" s="20" t="n">
        <v>-1.5561</v>
      </c>
      <c r="N156" s="20" t="n">
        <v>-0.2289</v>
      </c>
      <c r="O156" s="20" t="n">
        <v>-1.0485</v>
      </c>
      <c r="P156" s="20" t="n">
        <v>3.1219</v>
      </c>
      <c r="Q156" s="20" t="n">
        <v>-1.3047</v>
      </c>
    </row>
    <row r="157" ht="19" customHeight="1">
      <c r="A157" s="13" t="inlineStr">
        <is>
          <t>WINE-155</t>
        </is>
      </c>
      <c r="B157" s="19" t="n">
        <v>-0.5196</v>
      </c>
      <c r="C157" s="19" t="n">
        <v>-0.9393</v>
      </c>
      <c r="D157" s="19" t="n">
        <v>-0.9742</v>
      </c>
      <c r="E157" s="19" t="n">
        <v>0.1517</v>
      </c>
      <c r="F157" s="19" t="n">
        <v>0.2288</v>
      </c>
      <c r="G157" s="19" t="n">
        <v>-1.3061</v>
      </c>
      <c r="H157" s="19" t="n">
        <v>-1.455</v>
      </c>
      <c r="I157" s="19" t="n">
        <v>1.3549</v>
      </c>
      <c r="J157" s="19" t="n">
        <v>-0.3345</v>
      </c>
      <c r="K157" s="19" t="n">
        <v>1.0996</v>
      </c>
      <c r="L157" s="19" t="n">
        <v>-1.656</v>
      </c>
      <c r="M157" s="19" t="n">
        <v>-1.4996</v>
      </c>
      <c r="N157" s="19" t="n">
        <v>-0.3404</v>
      </c>
      <c r="O157" s="19" t="n">
        <v>0.2314</v>
      </c>
      <c r="P157" s="19" t="n">
        <v>-0.5852000000000001</v>
      </c>
      <c r="Q157" s="19" t="n">
        <v>0.4343</v>
      </c>
    </row>
    <row r="158" ht="19" customHeight="1">
      <c r="A158" s="16" t="inlineStr">
        <is>
          <t>WINE-156</t>
        </is>
      </c>
      <c r="B158" s="20" t="n">
        <v>0.2092</v>
      </c>
      <c r="C158" s="20" t="n">
        <v>2.5616</v>
      </c>
      <c r="D158" s="20" t="n">
        <v>-0.17</v>
      </c>
      <c r="E158" s="20" t="n">
        <v>0.7522</v>
      </c>
      <c r="F158" s="20" t="n">
        <v>-0.4733</v>
      </c>
      <c r="G158" s="20" t="n">
        <v>-0.8895</v>
      </c>
      <c r="H158" s="20" t="n">
        <v>-1.4048</v>
      </c>
      <c r="I158" s="20" t="n">
        <v>1.9995</v>
      </c>
      <c r="J158" s="20" t="n">
        <v>-0.0717</v>
      </c>
      <c r="K158" s="20" t="n">
        <v>1.2293</v>
      </c>
      <c r="L158" s="20" t="n">
        <v>-1.5683</v>
      </c>
      <c r="M158" s="20" t="n">
        <v>-1.5984</v>
      </c>
      <c r="N158" s="20" t="n">
        <v>-0.0697</v>
      </c>
      <c r="O158" s="20" t="n">
        <v>-1.8047</v>
      </c>
      <c r="P158" s="20" t="n">
        <v>-0.8494</v>
      </c>
      <c r="Q158" s="20" t="n">
        <v>0.6587</v>
      </c>
    </row>
    <row r="159" ht="19" customHeight="1">
      <c r="A159" s="13" t="inlineStr">
        <is>
          <t>WINE-157</t>
        </is>
      </c>
      <c r="B159" s="19" t="n">
        <v>1.0369</v>
      </c>
      <c r="C159" s="19" t="n">
        <v>1.6011</v>
      </c>
      <c r="D159" s="19" t="n">
        <v>0.0493</v>
      </c>
      <c r="E159" s="19" t="n">
        <v>0.0015</v>
      </c>
      <c r="F159" s="19" t="n">
        <v>-0.7542</v>
      </c>
      <c r="G159" s="19" t="n">
        <v>-0.7933</v>
      </c>
      <c r="H159" s="19" t="n">
        <v>-1.204</v>
      </c>
      <c r="I159" s="19" t="n">
        <v>0.952</v>
      </c>
      <c r="J159" s="19" t="n">
        <v>-0.0541</v>
      </c>
      <c r="K159" s="19" t="n">
        <v>1.7095</v>
      </c>
      <c r="L159" s="19" t="n">
        <v>-1.6999</v>
      </c>
      <c r="M159" s="19" t="n">
        <v>-1.3725</v>
      </c>
      <c r="N159" s="19" t="n">
        <v>-0.8499</v>
      </c>
      <c r="O159" s="19" t="n">
        <v>-1.3975</v>
      </c>
      <c r="P159" s="19" t="n">
        <v>-0.1422</v>
      </c>
      <c r="Q159" s="19" t="n">
        <v>0.6026</v>
      </c>
    </row>
    <row r="160" ht="19" customHeight="1">
      <c r="A160" s="16" t="inlineStr">
        <is>
          <t>WINE-158</t>
        </is>
      </c>
      <c r="B160" s="20" t="n">
        <v>-0.6802</v>
      </c>
      <c r="C160" s="20" t="n">
        <v>0.6227</v>
      </c>
      <c r="D160" s="20" t="n">
        <v>0.9997</v>
      </c>
      <c r="E160" s="20" t="n">
        <v>2.2537</v>
      </c>
      <c r="F160" s="20" t="n">
        <v>-0.1925</v>
      </c>
      <c r="G160" s="20" t="n">
        <v>-0.6331</v>
      </c>
      <c r="H160" s="20" t="n">
        <v>-1.455</v>
      </c>
      <c r="I160" s="20" t="n">
        <v>2.1607</v>
      </c>
      <c r="J160" s="20" t="n">
        <v>-0.79</v>
      </c>
      <c r="K160" s="20" t="n">
        <v>1.0563</v>
      </c>
      <c r="L160" s="20" t="n">
        <v>-1.2611</v>
      </c>
      <c r="M160" s="20" t="n">
        <v>-1.2453</v>
      </c>
      <c r="N160" s="20" t="n">
        <v>0.4239</v>
      </c>
      <c r="O160" s="20" t="n">
        <v>0.3477</v>
      </c>
      <c r="P160" s="20" t="n">
        <v>-0.6007</v>
      </c>
      <c r="Q160" s="20" t="n">
        <v>1.1074</v>
      </c>
    </row>
    <row r="161" ht="19" customHeight="1">
      <c r="A161" s="13" t="inlineStr">
        <is>
          <t>WINE-159</t>
        </is>
      </c>
      <c r="B161" s="19" t="n">
        <v>1.6545</v>
      </c>
      <c r="C161" s="19" t="n">
        <v>-0.5891999999999999</v>
      </c>
      <c r="D161" s="19" t="n">
        <v>1.219</v>
      </c>
      <c r="E161" s="19" t="n">
        <v>1.6531</v>
      </c>
      <c r="F161" s="19" t="n">
        <v>-0.1223</v>
      </c>
      <c r="G161" s="19" t="n">
        <v>0.8090000000000001</v>
      </c>
      <c r="H161" s="19" t="n">
        <v>-0.7221</v>
      </c>
      <c r="I161" s="19" t="n">
        <v>1.3549</v>
      </c>
      <c r="J161" s="19" t="n">
        <v>1.9432</v>
      </c>
      <c r="K161" s="19" t="n">
        <v>3.4354</v>
      </c>
      <c r="L161" s="19" t="n">
        <v>-1.6999</v>
      </c>
      <c r="M161" s="19" t="n">
        <v>-0.9205</v>
      </c>
      <c r="N161" s="19" t="n">
        <v>-0.2767</v>
      </c>
      <c r="O161" s="19" t="n">
        <v>0.5804</v>
      </c>
      <c r="P161" s="19" t="n">
        <v>0.9769</v>
      </c>
      <c r="Q161" s="19" t="n">
        <v>0.8831</v>
      </c>
    </row>
    <row r="162" ht="19" customHeight="1">
      <c r="A162" s="16" t="inlineStr">
        <is>
          <t>WINE-160</t>
        </is>
      </c>
      <c r="B162" s="20" t="n">
        <v>0.5921999999999999</v>
      </c>
      <c r="C162" s="20" t="n">
        <v>-0.5982</v>
      </c>
      <c r="D162" s="20" t="n">
        <v>0.9997</v>
      </c>
      <c r="E162" s="20" t="n">
        <v>0.9024</v>
      </c>
      <c r="F162" s="20" t="n">
        <v>-0.7542</v>
      </c>
      <c r="G162" s="20" t="n">
        <v>0.4885</v>
      </c>
      <c r="H162" s="20" t="n">
        <v>-0.9330000000000001</v>
      </c>
      <c r="I162" s="20" t="n">
        <v>1.2743</v>
      </c>
      <c r="J162" s="20" t="n">
        <v>1.2249</v>
      </c>
      <c r="K162" s="20" t="n">
        <v>2.8947</v>
      </c>
      <c r="L162" s="20" t="n">
        <v>-1.6999</v>
      </c>
      <c r="M162" s="20" t="n">
        <v>-1.1747</v>
      </c>
      <c r="N162" s="20" t="n">
        <v>-0.4041</v>
      </c>
      <c r="O162" s="20" t="n">
        <v>-0.3504</v>
      </c>
      <c r="P162" s="20" t="n">
        <v>-0.624</v>
      </c>
      <c r="Q162" s="20" t="n">
        <v>0.4904</v>
      </c>
    </row>
    <row r="163" ht="19" customHeight="1">
      <c r="A163" s="13" t="inlineStr">
        <is>
          <t>WINE-161</t>
        </is>
      </c>
      <c r="B163" s="19" t="n">
        <v>-0.7913</v>
      </c>
      <c r="C163" s="19" t="n">
        <v>1.3408</v>
      </c>
      <c r="D163" s="19" t="n">
        <v>0.0493</v>
      </c>
      <c r="E163" s="19" t="n">
        <v>0.4519</v>
      </c>
      <c r="F163" s="19" t="n">
        <v>-0.8244</v>
      </c>
      <c r="G163" s="19" t="n">
        <v>0.0078</v>
      </c>
      <c r="H163" s="19" t="n">
        <v>-1.1137</v>
      </c>
      <c r="I163" s="19" t="n">
        <v>1.1132</v>
      </c>
      <c r="J163" s="19" t="n">
        <v>-0.9651999999999999</v>
      </c>
      <c r="K163" s="19" t="n">
        <v>1.1212</v>
      </c>
      <c r="L163" s="19" t="n">
        <v>-1.7437</v>
      </c>
      <c r="M163" s="19" t="n">
        <v>-1.4572</v>
      </c>
      <c r="N163" s="19" t="n">
        <v>-0.7225</v>
      </c>
      <c r="O163" s="19" t="n">
        <v>0.0569</v>
      </c>
      <c r="P163" s="19" t="n">
        <v>-0.4453</v>
      </c>
      <c r="Q163" s="19" t="n">
        <v>-0.0145</v>
      </c>
    </row>
    <row r="164" ht="19" customHeight="1">
      <c r="A164" s="16" t="inlineStr">
        <is>
          <t>WINE-162</t>
        </is>
      </c>
      <c r="B164" s="20" t="n">
        <v>0.8516</v>
      </c>
      <c r="C164" s="20" t="n">
        <v>0.8290999999999999</v>
      </c>
      <c r="D164" s="20" t="n">
        <v>0.6341</v>
      </c>
      <c r="E164" s="20" t="n">
        <v>0.1517</v>
      </c>
      <c r="F164" s="20" t="n">
        <v>0.5096000000000001</v>
      </c>
      <c r="G164" s="20" t="n">
        <v>-0.7453</v>
      </c>
      <c r="H164" s="20" t="n">
        <v>-1.4751</v>
      </c>
      <c r="I164" s="20" t="n">
        <v>1.1132</v>
      </c>
      <c r="J164" s="20" t="n">
        <v>-1.3857</v>
      </c>
      <c r="K164" s="20" t="n">
        <v>0.3555</v>
      </c>
      <c r="L164" s="20" t="n">
        <v>0.0112</v>
      </c>
      <c r="M164" s="20" t="n">
        <v>-1.1182</v>
      </c>
      <c r="N164" s="20" t="n">
        <v>-0.213</v>
      </c>
      <c r="O164" s="20" t="n">
        <v>-0.234</v>
      </c>
      <c r="P164" s="20" t="n">
        <v>-0.9194</v>
      </c>
      <c r="Q164" s="20" t="n">
        <v>-1.6413</v>
      </c>
    </row>
    <row r="165" ht="19" customHeight="1">
      <c r="A165" s="13" t="inlineStr">
        <is>
          <t>WINE-163</t>
        </is>
      </c>
      <c r="B165" s="19" t="n">
        <v>-0.1861</v>
      </c>
      <c r="C165" s="19" t="n">
        <v>0.8381</v>
      </c>
      <c r="D165" s="19" t="n">
        <v>0.7804</v>
      </c>
      <c r="E165" s="19" t="n">
        <v>0.7522</v>
      </c>
      <c r="F165" s="19" t="n">
        <v>0.4394</v>
      </c>
      <c r="G165" s="19" t="n">
        <v>-1.0337</v>
      </c>
      <c r="H165" s="19" t="n">
        <v>-1.4349</v>
      </c>
      <c r="I165" s="19" t="n">
        <v>1.9189</v>
      </c>
      <c r="J165" s="19" t="n">
        <v>-1.1054</v>
      </c>
      <c r="K165" s="19" t="n">
        <v>0.2258</v>
      </c>
      <c r="L165" s="19" t="n">
        <v>-0.3837</v>
      </c>
      <c r="M165" s="19" t="n">
        <v>-0.7086</v>
      </c>
      <c r="N165" s="19" t="n">
        <v>-0.5633</v>
      </c>
      <c r="O165" s="19" t="n">
        <v>0.2314</v>
      </c>
      <c r="P165" s="19" t="n">
        <v>0.6116</v>
      </c>
      <c r="Q165" s="19" t="n">
        <v>0.4904</v>
      </c>
    </row>
    <row r="166" ht="19" customHeight="1">
      <c r="A166" s="16" t="inlineStr">
        <is>
          <t>WINE-164</t>
        </is>
      </c>
      <c r="B166" s="20" t="n">
        <v>-0.0502</v>
      </c>
      <c r="C166" s="20" t="n">
        <v>0.9997</v>
      </c>
      <c r="D166" s="20" t="n">
        <v>-0.0604</v>
      </c>
      <c r="E166" s="20" t="n">
        <v>-0.2988</v>
      </c>
      <c r="F166" s="20" t="n">
        <v>0.4394</v>
      </c>
      <c r="G166" s="20" t="n">
        <v>-1.4503</v>
      </c>
      <c r="H166" s="20" t="n">
        <v>-1.3345</v>
      </c>
      <c r="I166" s="20" t="n">
        <v>0.3074</v>
      </c>
      <c r="J166" s="20" t="n">
        <v>-1.1404</v>
      </c>
      <c r="K166" s="20" t="n">
        <v>0.096</v>
      </c>
      <c r="L166" s="20" t="n">
        <v>-1.2173</v>
      </c>
      <c r="M166" s="20" t="n">
        <v>-1.2171</v>
      </c>
      <c r="N166" s="20" t="n">
        <v>-0.2289</v>
      </c>
      <c r="O166" s="20" t="n">
        <v>-0.0013</v>
      </c>
      <c r="P166" s="20" t="n">
        <v>-0.8883</v>
      </c>
      <c r="Q166" s="20" t="n">
        <v>0.266</v>
      </c>
    </row>
    <row r="167" ht="19" customHeight="1">
      <c r="A167" s="13" t="inlineStr">
        <is>
          <t>WINE-165</t>
        </is>
      </c>
      <c r="B167" s="19" t="n">
        <v>0.9627</v>
      </c>
      <c r="C167" s="19" t="n">
        <v>0.3803</v>
      </c>
      <c r="D167" s="19" t="n">
        <v>-0.2431</v>
      </c>
      <c r="E167" s="19" t="n">
        <v>0.7522</v>
      </c>
      <c r="F167" s="19" t="n">
        <v>-0.6840000000000001</v>
      </c>
      <c r="G167" s="19" t="n">
        <v>-1.5144</v>
      </c>
      <c r="H167" s="19" t="n">
        <v>-1.3546</v>
      </c>
      <c r="I167" s="19" t="n">
        <v>0.388</v>
      </c>
      <c r="J167" s="19" t="n">
        <v>-0.9827</v>
      </c>
      <c r="K167" s="19" t="n">
        <v>1.956</v>
      </c>
      <c r="L167" s="19" t="n">
        <v>-1.1295</v>
      </c>
      <c r="M167" s="19" t="n">
        <v>-1.316</v>
      </c>
      <c r="N167" s="19" t="n">
        <v>-0.42</v>
      </c>
      <c r="O167" s="19" t="n">
        <v>-0.9903</v>
      </c>
      <c r="P167" s="19" t="n">
        <v>0.2075</v>
      </c>
      <c r="Q167" s="19" t="n">
        <v>0.3221</v>
      </c>
    </row>
    <row r="168" ht="19" customHeight="1">
      <c r="A168" s="16" t="inlineStr">
        <is>
          <t>WINE-166</t>
        </is>
      </c>
      <c r="B168" s="20" t="n">
        <v>0.901</v>
      </c>
      <c r="C168" s="20" t="n">
        <v>1.8166</v>
      </c>
      <c r="D168" s="20" t="n">
        <v>-0.3894</v>
      </c>
      <c r="E168" s="20" t="n">
        <v>0.9024</v>
      </c>
      <c r="F168" s="20" t="n">
        <v>-0.8244</v>
      </c>
      <c r="G168" s="20" t="n">
        <v>-1.6265</v>
      </c>
      <c r="H168" s="20" t="n">
        <v>-1.5655</v>
      </c>
      <c r="I168" s="20" t="n">
        <v>1.2743</v>
      </c>
      <c r="J168" s="20" t="n">
        <v>-0.7725</v>
      </c>
      <c r="K168" s="20" t="n">
        <v>0.6756</v>
      </c>
      <c r="L168" s="20" t="n">
        <v>-0.7785</v>
      </c>
      <c r="M168" s="20" t="n">
        <v>-1.2171</v>
      </c>
      <c r="N168" s="20" t="n">
        <v>-0.7225</v>
      </c>
      <c r="O168" s="20" t="n">
        <v>-1.5138</v>
      </c>
      <c r="P168" s="20" t="n">
        <v>2.3447</v>
      </c>
      <c r="Q168" s="20" t="n">
        <v>-1.2486</v>
      </c>
    </row>
    <row r="169" ht="19" customHeight="1">
      <c r="A169" s="13" t="inlineStr">
        <is>
          <t>WINE-167</t>
        </is>
      </c>
      <c r="B169" s="19" t="n">
        <v>0.5551</v>
      </c>
      <c r="C169" s="19" t="n">
        <v>1.2241</v>
      </c>
      <c r="D169" s="19" t="n">
        <v>0.8535</v>
      </c>
      <c r="E169" s="19" t="n">
        <v>1.0525</v>
      </c>
      <c r="F169" s="19" t="n">
        <v>0.7905</v>
      </c>
      <c r="G169" s="19" t="n">
        <v>-0.9536</v>
      </c>
      <c r="H169" s="19" t="n">
        <v>-1.1137</v>
      </c>
      <c r="I169" s="19" t="n">
        <v>0.5491</v>
      </c>
      <c r="J169" s="19" t="n">
        <v>-0.2293</v>
      </c>
      <c r="K169" s="19" t="n">
        <v>2.4319</v>
      </c>
      <c r="L169" s="19" t="n">
        <v>-0.4714</v>
      </c>
      <c r="M169" s="19" t="n">
        <v>-1.4854</v>
      </c>
      <c r="N169" s="19" t="n">
        <v>-0.1653</v>
      </c>
      <c r="O169" s="19" t="n">
        <v>-0.0595</v>
      </c>
      <c r="P169" s="19" t="n">
        <v>-1.2691</v>
      </c>
      <c r="Q169" s="19" t="n">
        <v>-1.0242</v>
      </c>
    </row>
    <row r="170" ht="19" customHeight="1">
      <c r="A170" s="16" t="inlineStr">
        <is>
          <t>WINE-168</t>
        </is>
      </c>
      <c r="B170" s="20" t="n">
        <v>-0.2231</v>
      </c>
      <c r="C170" s="20" t="n">
        <v>0.9278999999999999</v>
      </c>
      <c r="D170" s="20" t="n">
        <v>-0.2431</v>
      </c>
      <c r="E170" s="20" t="n">
        <v>0.0015</v>
      </c>
      <c r="F170" s="20" t="n">
        <v>-0.8244</v>
      </c>
      <c r="G170" s="20" t="n">
        <v>-1.3061</v>
      </c>
      <c r="H170" s="20" t="n">
        <v>-1.3747</v>
      </c>
      <c r="I170" s="20" t="n">
        <v>0.3074</v>
      </c>
      <c r="J170" s="20" t="n">
        <v>-1.0879</v>
      </c>
      <c r="K170" s="20" t="n">
        <v>2.2502</v>
      </c>
      <c r="L170" s="20" t="n">
        <v>-1.0418</v>
      </c>
      <c r="M170" s="20" t="n">
        <v>-1.2171</v>
      </c>
      <c r="N170" s="20" t="n">
        <v>-0.1971</v>
      </c>
      <c r="O170" s="20" t="n">
        <v>-0.0013</v>
      </c>
      <c r="P170" s="20" t="n">
        <v>1.6764</v>
      </c>
      <c r="Q170" s="20" t="n">
        <v>1.1074</v>
      </c>
    </row>
    <row r="171" ht="19" customHeight="1">
      <c r="A171" s="13" t="inlineStr">
        <is>
          <t>WINE-169</t>
        </is>
      </c>
      <c r="B171" s="19" t="n">
        <v>0.7157</v>
      </c>
      <c r="C171" s="19" t="n">
        <v>0.2187</v>
      </c>
      <c r="D171" s="19" t="n">
        <v>1.1824</v>
      </c>
      <c r="E171" s="19" t="n">
        <v>1.5029</v>
      </c>
      <c r="F171" s="19" t="n">
        <v>0.3692</v>
      </c>
      <c r="G171" s="19" t="n">
        <v>-1.1939</v>
      </c>
      <c r="H171" s="19" t="n">
        <v>-1.194</v>
      </c>
      <c r="I171" s="19" t="n">
        <v>0.2268</v>
      </c>
      <c r="J171" s="19" t="n">
        <v>-0.0892</v>
      </c>
      <c r="K171" s="19" t="n">
        <v>1.5581</v>
      </c>
      <c r="L171" s="19" t="n">
        <v>-0.954</v>
      </c>
      <c r="M171" s="19" t="n">
        <v>-1.1465</v>
      </c>
      <c r="N171" s="19" t="n">
        <v>0.009900000000000001</v>
      </c>
      <c r="O171" s="19" t="n">
        <v>-0.1758</v>
      </c>
      <c r="P171" s="19" t="n">
        <v>0.0599</v>
      </c>
      <c r="Q171" s="19" t="n">
        <v>-0.0145</v>
      </c>
    </row>
    <row r="172" ht="19" customHeight="1">
      <c r="A172" s="16" t="inlineStr">
        <is>
          <t>WINE-170</t>
        </is>
      </c>
      <c r="B172" s="20" t="n">
        <v>0.4933</v>
      </c>
      <c r="C172" s="20" t="n">
        <v>2.032</v>
      </c>
      <c r="D172" s="20" t="n">
        <v>1.8038</v>
      </c>
      <c r="E172" s="20" t="n">
        <v>1.6531</v>
      </c>
      <c r="F172" s="20" t="n">
        <v>0.8607</v>
      </c>
      <c r="G172" s="20" t="n">
        <v>-0.5049</v>
      </c>
      <c r="H172" s="20" t="n">
        <v>-1.0735</v>
      </c>
      <c r="I172" s="20" t="n">
        <v>-0.7401</v>
      </c>
      <c r="J172" s="20" t="n">
        <v>-0.8426</v>
      </c>
      <c r="K172" s="20" t="n">
        <v>1.4889</v>
      </c>
      <c r="L172" s="20" t="n">
        <v>-1.2611</v>
      </c>
      <c r="M172" s="20" t="n">
        <v>-0.977</v>
      </c>
      <c r="N172" s="20" t="n">
        <v>-0.3722</v>
      </c>
      <c r="O172" s="20" t="n">
        <v>-0.9903</v>
      </c>
      <c r="P172" s="20" t="n">
        <v>-0.9971</v>
      </c>
      <c r="Q172" s="20" t="n">
        <v>0.7148</v>
      </c>
    </row>
    <row r="173" ht="19" customHeight="1">
      <c r="A173" s="13" t="inlineStr">
        <is>
          <t>WINE-171</t>
        </is>
      </c>
      <c r="B173" s="19" t="n">
        <v>-0.989</v>
      </c>
      <c r="C173" s="19" t="n">
        <v>0.6227</v>
      </c>
      <c r="D173" s="19" t="n">
        <v>-0.17</v>
      </c>
      <c r="E173" s="19" t="n">
        <v>-0.1486</v>
      </c>
      <c r="F173" s="19" t="n">
        <v>-0.2627</v>
      </c>
      <c r="G173" s="19" t="n">
        <v>-1.6746</v>
      </c>
      <c r="H173" s="19" t="n">
        <v>-1.5454</v>
      </c>
      <c r="I173" s="19" t="n">
        <v>0.3074</v>
      </c>
      <c r="J173" s="19" t="n">
        <v>-1.5084</v>
      </c>
      <c r="K173" s="19" t="n">
        <v>0.1912</v>
      </c>
      <c r="L173" s="19" t="n">
        <v>-1.305</v>
      </c>
      <c r="M173" s="19" t="n">
        <v>-1.1041</v>
      </c>
      <c r="N173" s="19" t="n">
        <v>-0.7544</v>
      </c>
      <c r="O173" s="19" t="n">
        <v>0.755</v>
      </c>
      <c r="P173" s="19" t="n">
        <v>-0.1033</v>
      </c>
      <c r="Q173" s="19" t="n">
        <v>0.0977</v>
      </c>
    </row>
    <row r="174" ht="19" customHeight="1">
      <c r="A174" s="16" t="inlineStr">
        <is>
          <t>WINE-172</t>
        </is>
      </c>
      <c r="B174" s="20" t="n">
        <v>-0.2849</v>
      </c>
      <c r="C174" s="20" t="n">
        <v>0.0482</v>
      </c>
      <c r="D174" s="20" t="n">
        <v>-0.3162</v>
      </c>
      <c r="E174" s="20" t="n">
        <v>0.0015</v>
      </c>
      <c r="F174" s="20" t="n">
        <v>-0.9648</v>
      </c>
      <c r="G174" s="20" t="n">
        <v>-1.4503</v>
      </c>
      <c r="H174" s="20" t="n">
        <v>-1.5253</v>
      </c>
      <c r="I174" s="20" t="n">
        <v>0.952</v>
      </c>
      <c r="J174" s="20" t="n">
        <v>-1.6661</v>
      </c>
      <c r="K174" s="20" t="n">
        <v>2.0945</v>
      </c>
      <c r="L174" s="20" t="n">
        <v>-1.6999</v>
      </c>
      <c r="M174" s="20" t="n">
        <v>-1.3866</v>
      </c>
      <c r="N174" s="20" t="n">
        <v>-0.8818</v>
      </c>
      <c r="O174" s="20" t="n">
        <v>-0.5831</v>
      </c>
      <c r="P174" s="20" t="n">
        <v>0.5728</v>
      </c>
      <c r="Q174" s="20" t="n">
        <v>0.0977</v>
      </c>
    </row>
    <row r="175" ht="19" customHeight="1">
      <c r="A175" s="13" t="inlineStr">
        <is>
          <t>WINE-173</t>
        </is>
      </c>
      <c r="B175" s="19" t="n">
        <v>1.4321</v>
      </c>
      <c r="C175" s="19" t="n">
        <v>0.1559</v>
      </c>
      <c r="D175" s="19" t="n">
        <v>0.4148</v>
      </c>
      <c r="E175" s="19" t="n">
        <v>0.1517</v>
      </c>
      <c r="F175" s="19" t="n">
        <v>-0.6138</v>
      </c>
      <c r="G175" s="19" t="n">
        <v>-0.9856</v>
      </c>
      <c r="H175" s="19" t="n">
        <v>-1.3345</v>
      </c>
      <c r="I175" s="19" t="n">
        <v>0.6297</v>
      </c>
      <c r="J175" s="19" t="n">
        <v>-0.6148</v>
      </c>
      <c r="K175" s="19" t="n">
        <v>2.008</v>
      </c>
      <c r="L175" s="19" t="n">
        <v>-1.4805</v>
      </c>
      <c r="M175" s="19" t="n">
        <v>-1.2736</v>
      </c>
      <c r="N175" s="19" t="n">
        <v>-0.2767</v>
      </c>
      <c r="O175" s="19" t="n">
        <v>0.3477</v>
      </c>
      <c r="P175" s="19" t="n">
        <v>-0.8106</v>
      </c>
      <c r="Q175" s="19" t="n">
        <v>0.9952</v>
      </c>
    </row>
    <row r="176" ht="19" customHeight="1">
      <c r="A176" s="16" t="inlineStr">
        <is>
          <t>WINE-174</t>
        </is>
      </c>
      <c r="B176" s="20" t="n">
        <v>0.8763</v>
      </c>
      <c r="C176" s="20" t="n">
        <v>2.9745</v>
      </c>
      <c r="D176" s="20" t="n">
        <v>0.3052</v>
      </c>
      <c r="E176" s="20" t="n">
        <v>0.3018</v>
      </c>
      <c r="F176" s="20" t="n">
        <v>-0.3329</v>
      </c>
      <c r="G176" s="20" t="n">
        <v>-0.9856</v>
      </c>
      <c r="H176" s="20" t="n">
        <v>-1.4249</v>
      </c>
      <c r="I176" s="20" t="n">
        <v>1.2743</v>
      </c>
      <c r="J176" s="20" t="n">
        <v>-0.9302</v>
      </c>
      <c r="K176" s="20" t="n">
        <v>1.1428</v>
      </c>
      <c r="L176" s="20" t="n">
        <v>-1.3928</v>
      </c>
      <c r="M176" s="20" t="n">
        <v>-1.2312</v>
      </c>
      <c r="N176" s="20" t="n">
        <v>-0.022</v>
      </c>
      <c r="O176" s="20" t="n">
        <v>-1.8047</v>
      </c>
      <c r="P176" s="20" t="n">
        <v>0.2697</v>
      </c>
      <c r="Q176" s="20" t="n">
        <v>-0.4633</v>
      </c>
    </row>
    <row r="177" ht="19" customHeight="1">
      <c r="A177" s="13" t="inlineStr">
        <is>
          <t>WINE-175</t>
        </is>
      </c>
      <c r="B177" s="19" t="n">
        <v>0.4933</v>
      </c>
      <c r="C177" s="19" t="n">
        <v>1.4126</v>
      </c>
      <c r="D177" s="19" t="n">
        <v>0.4148</v>
      </c>
      <c r="E177" s="19" t="n">
        <v>1.0525</v>
      </c>
      <c r="F177" s="19" t="n">
        <v>0.1586</v>
      </c>
      <c r="G177" s="19" t="n">
        <v>-0.7933</v>
      </c>
      <c r="H177" s="19" t="n">
        <v>-1.2843</v>
      </c>
      <c r="I177" s="19" t="n">
        <v>0.5491</v>
      </c>
      <c r="J177" s="19" t="n">
        <v>-0.317</v>
      </c>
      <c r="K177" s="19" t="n">
        <v>0.9698</v>
      </c>
      <c r="L177" s="19" t="n">
        <v>-1.1295</v>
      </c>
      <c r="M177" s="19" t="n">
        <v>-1.4854</v>
      </c>
      <c r="N177" s="19" t="n">
        <v>0.009900000000000001</v>
      </c>
      <c r="O177" s="19" t="n">
        <v>-0.9903</v>
      </c>
      <c r="P177" s="19" t="n">
        <v>1.8396</v>
      </c>
      <c r="Q177" s="19" t="n">
        <v>0.1538</v>
      </c>
    </row>
    <row r="178" ht="19" customHeight="1">
      <c r="A178" s="16" t="inlineStr">
        <is>
          <t>WINE-176</t>
        </is>
      </c>
      <c r="B178" s="20" t="n">
        <v>0.3328</v>
      </c>
      <c r="C178" s="20" t="n">
        <v>1.7447</v>
      </c>
      <c r="D178" s="20" t="n">
        <v>-0.3894</v>
      </c>
      <c r="E178" s="20" t="n">
        <v>0.1517</v>
      </c>
      <c r="F178" s="20" t="n">
        <v>1.4224</v>
      </c>
      <c r="G178" s="20" t="n">
        <v>-1.1298</v>
      </c>
      <c r="H178" s="20" t="n">
        <v>-1.3446</v>
      </c>
      <c r="I178" s="20" t="n">
        <v>0.5491</v>
      </c>
      <c r="J178" s="20" t="n">
        <v>-0.4221</v>
      </c>
      <c r="K178" s="20" t="n">
        <v>2.2242</v>
      </c>
      <c r="L178" s="20" t="n">
        <v>-1.6121</v>
      </c>
      <c r="M178" s="20" t="n">
        <v>-1.4854</v>
      </c>
      <c r="N178" s="20" t="n">
        <v>0.2806</v>
      </c>
      <c r="O178" s="20" t="n">
        <v>-0.0013</v>
      </c>
      <c r="P178" s="20" t="n">
        <v>-0.624</v>
      </c>
      <c r="Q178" s="20" t="n">
        <v>-0.4072</v>
      </c>
    </row>
    <row r="179" ht="19" customHeight="1">
      <c r="A179" s="13" t="inlineStr">
        <is>
          <t>WINE-177</t>
        </is>
      </c>
      <c r="B179" s="19" t="n">
        <v>0.2092</v>
      </c>
      <c r="C179" s="19" t="n">
        <v>0.2277</v>
      </c>
      <c r="D179" s="19" t="n">
        <v>0.0127</v>
      </c>
      <c r="E179" s="19" t="n">
        <v>0.1517</v>
      </c>
      <c r="F179" s="19" t="n">
        <v>1.4224</v>
      </c>
      <c r="G179" s="19" t="n">
        <v>-1.0337</v>
      </c>
      <c r="H179" s="19" t="n">
        <v>-1.3546</v>
      </c>
      <c r="I179" s="19" t="n">
        <v>1.3549</v>
      </c>
      <c r="J179" s="19" t="n">
        <v>-0.2293</v>
      </c>
      <c r="K179" s="19" t="n">
        <v>1.8349</v>
      </c>
      <c r="L179" s="19" t="n">
        <v>-1.5683</v>
      </c>
      <c r="M179" s="19" t="n">
        <v>-1.4007</v>
      </c>
      <c r="N179" s="19" t="n">
        <v>0.2965</v>
      </c>
      <c r="O179" s="19" t="n">
        <v>0.5223</v>
      </c>
      <c r="P179" s="19" t="n">
        <v>-0.9271</v>
      </c>
      <c r="Q179" s="19" t="n">
        <v>-0.4072</v>
      </c>
    </row>
    <row r="180" ht="19" customHeight="1">
      <c r="A180" s="16" t="inlineStr">
        <is>
          <t>WINE-178</t>
        </is>
      </c>
      <c r="B180" s="20" t="n">
        <v>1.3951</v>
      </c>
      <c r="C180" s="20" t="n">
        <v>1.5832</v>
      </c>
      <c r="D180" s="20" t="n">
        <v>1.3652</v>
      </c>
      <c r="E180" s="20" t="n">
        <v>1.5029</v>
      </c>
      <c r="F180" s="20" t="n">
        <v>-0.2627</v>
      </c>
      <c r="G180" s="20" t="n">
        <v>-0.3928</v>
      </c>
      <c r="H180" s="20" t="n">
        <v>-1.2743</v>
      </c>
      <c r="I180" s="20" t="n">
        <v>1.5966</v>
      </c>
      <c r="J180" s="20" t="n">
        <v>-0.4221</v>
      </c>
      <c r="K180" s="20" t="n">
        <v>1.7917</v>
      </c>
      <c r="L180" s="20" t="n">
        <v>-1.5244</v>
      </c>
      <c r="M180" s="20" t="n">
        <v>-1.4289</v>
      </c>
      <c r="N180" s="20" t="n">
        <v>-0.5952</v>
      </c>
      <c r="O180" s="20" t="n">
        <v>-0.1758</v>
      </c>
      <c r="P180" s="20" t="n">
        <v>-0.321</v>
      </c>
      <c r="Q180" s="20" t="n">
        <v>-0.295</v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0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2" customWidth="1" min="4" max="4"/>
    <col width="18" customWidth="1" min="5" max="5"/>
    <col width="21" customWidth="1" min="6" max="6"/>
    <col width="22" customWidth="1" min="7" max="7"/>
    <col width="25" customWidth="1" min="8" max="8"/>
    <col width="38" customWidth="1" min="9" max="9"/>
    <col width="11" customWidth="1" min="10" max="10"/>
    <col width="11" customWidth="1" min="11" max="11"/>
  </cols>
  <sheetData>
    <row r="1" ht="35" customHeight="1">
      <c r="A1" s="12" t="inlineStr">
        <is>
          <t>Cluster Assignments, PCA 2D Coordinates &amp; Sample Silhouette Diagnostics</t>
        </is>
      </c>
    </row>
    <row r="2" ht="28" customHeight="1">
      <c r="A2" s="6" t="inlineStr">
        <is>
          <t>Sample ID</t>
        </is>
      </c>
      <c r="B2" s="6" t="inlineStr">
        <is>
          <t>Region</t>
        </is>
      </c>
      <c r="C2" s="6" t="inlineStr">
        <is>
          <t>PCA Dim 1</t>
        </is>
      </c>
      <c r="D2" s="6" t="inlineStr">
        <is>
          <t>PCA Dim 2</t>
        </is>
      </c>
      <c r="E2" s="6" t="inlineStr">
        <is>
          <t>K-Means Cluster</t>
        </is>
      </c>
      <c r="F2" s="6" t="inlineStr">
        <is>
          <t>K-Means Silhouette</t>
        </is>
      </c>
      <c r="G2" s="6" t="inlineStr">
        <is>
          <t>Hierarchical (Ward)</t>
        </is>
      </c>
      <c r="H2" s="6" t="inlineStr">
        <is>
          <t>Hierarchical (Average)</t>
        </is>
      </c>
      <c r="I2" s="6" t="inlineStr">
        <is>
          <t>Method Concordance</t>
        </is>
      </c>
    </row>
    <row r="3" ht="19" customHeight="1">
      <c r="A3" s="13" t="inlineStr">
        <is>
          <t>WINE-001</t>
        </is>
      </c>
      <c r="B3" s="14" t="inlineStr">
        <is>
          <t>Piedmont (Barolo Zone)</t>
        </is>
      </c>
      <c r="C3" s="21" t="n">
        <v>-3.127</v>
      </c>
      <c r="D3" s="21" t="n">
        <v>-1.823</v>
      </c>
      <c r="E3" s="13" t="inlineStr">
        <is>
          <t>Cluster 1</t>
        </is>
      </c>
      <c r="F3" s="21" t="n">
        <v>0.365</v>
      </c>
      <c r="G3" s="13" t="inlineStr">
        <is>
          <t>Cluster 3</t>
        </is>
      </c>
      <c r="H3" s="13" t="inlineStr">
        <is>
          <t>Cluster 1</t>
        </is>
      </c>
      <c r="I3" s="13">
        <f>IF(E3=G3, "CONGRUENT", "DISCORDANT")</f>
        <v/>
      </c>
    </row>
    <row r="4" ht="19" customHeight="1">
      <c r="A4" s="16" t="inlineStr">
        <is>
          <t>WINE-002</t>
        </is>
      </c>
      <c r="B4" s="17" t="inlineStr">
        <is>
          <t>Piedmont (Barolo Zone)</t>
        </is>
      </c>
      <c r="C4" s="22" t="n">
        <v>-2.13</v>
      </c>
      <c r="D4" s="22" t="n">
        <v>0.184</v>
      </c>
      <c r="E4" s="16" t="inlineStr">
        <is>
          <t>Cluster 1</t>
        </is>
      </c>
      <c r="F4" s="22" t="n">
        <v>0.18</v>
      </c>
      <c r="G4" s="16" t="inlineStr">
        <is>
          <t>Cluster 3</t>
        </is>
      </c>
      <c r="H4" s="16" t="inlineStr">
        <is>
          <t>Cluster 1</t>
        </is>
      </c>
      <c r="I4" s="16">
        <f>IF(E4=G4, "CONGRUENT", "DISCORDANT")</f>
        <v/>
      </c>
    </row>
    <row r="5" ht="19" customHeight="1">
      <c r="A5" s="13" t="inlineStr">
        <is>
          <t>WINE-003</t>
        </is>
      </c>
      <c r="B5" s="14" t="inlineStr">
        <is>
          <t>Piedmont (Barolo Zone)</t>
        </is>
      </c>
      <c r="C5" s="21" t="n">
        <v>-2.613</v>
      </c>
      <c r="D5" s="21" t="n">
        <v>-1.049</v>
      </c>
      <c r="E5" s="13" t="inlineStr">
        <is>
          <t>Cluster 1</t>
        </is>
      </c>
      <c r="F5" s="21" t="n">
        <v>0.28</v>
      </c>
      <c r="G5" s="13" t="inlineStr">
        <is>
          <t>Cluster 3</t>
        </is>
      </c>
      <c r="H5" s="13" t="inlineStr">
        <is>
          <t>Cluster 1</t>
        </is>
      </c>
      <c r="I5" s="13">
        <f>IF(E5=G5, "CONGRUENT", "DISCORDANT")</f>
        <v/>
      </c>
    </row>
    <row r="6" ht="19" customHeight="1">
      <c r="A6" s="16" t="inlineStr">
        <is>
          <t>WINE-004</t>
        </is>
      </c>
      <c r="B6" s="17" t="inlineStr">
        <is>
          <t>Piedmont (Barolo Zone)</t>
        </is>
      </c>
      <c r="C6" s="22" t="n">
        <v>-3.442</v>
      </c>
      <c r="D6" s="22" t="n">
        <v>-2.99</v>
      </c>
      <c r="E6" s="16" t="inlineStr">
        <is>
          <t>Cluster 1</t>
        </is>
      </c>
      <c r="F6" s="22" t="n">
        <v>0.354</v>
      </c>
      <c r="G6" s="16" t="inlineStr">
        <is>
          <t>Cluster 3</t>
        </is>
      </c>
      <c r="H6" s="16" t="inlineStr">
        <is>
          <t>Cluster 1</t>
        </is>
      </c>
      <c r="I6" s="16">
        <f>IF(E6=G6, "CONGRUENT", "DISCORDANT")</f>
        <v/>
      </c>
    </row>
    <row r="7" ht="19" customHeight="1">
      <c r="A7" s="13" t="inlineStr">
        <is>
          <t>WINE-005</t>
        </is>
      </c>
      <c r="B7" s="14" t="inlineStr">
        <is>
          <t>Piedmont (Barolo Zone)</t>
        </is>
      </c>
      <c r="C7" s="21" t="n">
        <v>-1.003</v>
      </c>
      <c r="D7" s="21" t="n">
        <v>-0.771</v>
      </c>
      <c r="E7" s="13" t="inlineStr">
        <is>
          <t>Cluster 1</t>
        </is>
      </c>
      <c r="F7" s="21" t="n">
        <v>0.147</v>
      </c>
      <c r="G7" s="13" t="inlineStr">
        <is>
          <t>Cluster 3</t>
        </is>
      </c>
      <c r="H7" s="13" t="inlineStr">
        <is>
          <t>Cluster 1</t>
        </is>
      </c>
      <c r="I7" s="13">
        <f>IF(E7=G7, "CONGRUENT", "DISCORDANT")</f>
        <v/>
      </c>
    </row>
    <row r="8" ht="19" customHeight="1">
      <c r="A8" s="16" t="inlineStr">
        <is>
          <t>WINE-006</t>
        </is>
      </c>
      <c r="B8" s="17" t="inlineStr">
        <is>
          <t>Piedmont (Barolo Zone)</t>
        </is>
      </c>
      <c r="C8" s="22" t="n">
        <v>-3.127</v>
      </c>
      <c r="D8" s="22" t="n">
        <v>-2.351</v>
      </c>
      <c r="E8" s="16" t="inlineStr">
        <is>
          <t>Cluster 1</t>
        </is>
      </c>
      <c r="F8" s="22" t="n">
        <v>0.333</v>
      </c>
      <c r="G8" s="16" t="inlineStr">
        <is>
          <t>Cluster 3</t>
        </is>
      </c>
      <c r="H8" s="16" t="inlineStr">
        <is>
          <t>Cluster 1</t>
        </is>
      </c>
      <c r="I8" s="16">
        <f>IF(E8=G8, "CONGRUENT", "DISCORDANT")</f>
        <v/>
      </c>
    </row>
    <row r="9" ht="19" customHeight="1">
      <c r="A9" s="13" t="inlineStr">
        <is>
          <t>WINE-007</t>
        </is>
      </c>
      <c r="B9" s="14" t="inlineStr">
        <is>
          <t>Piedmont (Barolo Zone)</t>
        </is>
      </c>
      <c r="C9" s="21" t="n">
        <v>-2.19</v>
      </c>
      <c r="D9" s="21" t="n">
        <v>-1.649</v>
      </c>
      <c r="E9" s="13" t="inlineStr">
        <is>
          <t>Cluster 1</t>
        </is>
      </c>
      <c r="F9" s="21" t="n">
        <v>0.316</v>
      </c>
      <c r="G9" s="13" t="inlineStr">
        <is>
          <t>Cluster 3</t>
        </is>
      </c>
      <c r="H9" s="13" t="inlineStr">
        <is>
          <t>Cluster 1</t>
        </is>
      </c>
      <c r="I9" s="13">
        <f>IF(E9=G9, "CONGRUENT", "DISCORDANT")</f>
        <v/>
      </c>
    </row>
    <row r="10" ht="19" customHeight="1">
      <c r="A10" s="16" t="inlineStr">
        <is>
          <t>WINE-008</t>
        </is>
      </c>
      <c r="B10" s="17" t="inlineStr">
        <is>
          <t>Piedmont (Barolo Zone)</t>
        </is>
      </c>
      <c r="C10" s="22" t="n">
        <v>-2.069</v>
      </c>
      <c r="D10" s="22" t="n">
        <v>-1.736</v>
      </c>
      <c r="E10" s="16" t="inlineStr">
        <is>
          <t>Cluster 1</t>
        </is>
      </c>
      <c r="F10" s="22" t="n">
        <v>0.325</v>
      </c>
      <c r="G10" s="16" t="inlineStr">
        <is>
          <t>Cluster 3</t>
        </is>
      </c>
      <c r="H10" s="16" t="inlineStr">
        <is>
          <t>Cluster 1</t>
        </is>
      </c>
      <c r="I10" s="16">
        <f>IF(E10=G10, "CONGRUENT", "DISCORDANT")</f>
        <v/>
      </c>
    </row>
    <row r="11" ht="19" customHeight="1">
      <c r="A11" s="13" t="inlineStr">
        <is>
          <t>WINE-009</t>
        </is>
      </c>
      <c r="B11" s="14" t="inlineStr">
        <is>
          <t>Piedmont (Barolo Zone)</t>
        </is>
      </c>
      <c r="C11" s="21" t="n">
        <v>-2.498</v>
      </c>
      <c r="D11" s="21" t="n">
        <v>-0.963</v>
      </c>
      <c r="E11" s="13" t="inlineStr">
        <is>
          <t>Cluster 1</t>
        </is>
      </c>
      <c r="F11" s="21" t="n">
        <v>0.302</v>
      </c>
      <c r="G11" s="13" t="inlineStr">
        <is>
          <t>Cluster 3</t>
        </is>
      </c>
      <c r="H11" s="13" t="inlineStr">
        <is>
          <t>Cluster 1</t>
        </is>
      </c>
      <c r="I11" s="13">
        <f>IF(E11=G11, "CONGRUENT", "DISCORDANT")</f>
        <v/>
      </c>
    </row>
    <row r="12" ht="19" customHeight="1">
      <c r="A12" s="16" t="inlineStr">
        <is>
          <t>WINE-010</t>
        </is>
      </c>
      <c r="B12" s="17" t="inlineStr">
        <is>
          <t>Piedmont (Barolo Zone)</t>
        </is>
      </c>
      <c r="C12" s="22" t="n">
        <v>-2.893</v>
      </c>
      <c r="D12" s="22" t="n">
        <v>-0.644</v>
      </c>
      <c r="E12" s="16" t="inlineStr">
        <is>
          <t>Cluster 1</t>
        </is>
      </c>
      <c r="F12" s="22" t="n">
        <v>0.311</v>
      </c>
      <c r="G12" s="16" t="inlineStr">
        <is>
          <t>Cluster 3</t>
        </is>
      </c>
      <c r="H12" s="16" t="inlineStr">
        <is>
          <t>Cluster 1</t>
        </is>
      </c>
      <c r="I12" s="16">
        <f>IF(E12=G12, "CONGRUENT", "DISCORDANT")</f>
        <v/>
      </c>
    </row>
    <row r="13" ht="19" customHeight="1">
      <c r="A13" s="13" t="inlineStr">
        <is>
          <t>WINE-011</t>
        </is>
      </c>
      <c r="B13" s="14" t="inlineStr">
        <is>
          <t>Piedmont (Barolo Zone)</t>
        </is>
      </c>
      <c r="C13" s="21" t="n">
        <v>-3.253</v>
      </c>
      <c r="D13" s="21" t="n">
        <v>-1.743</v>
      </c>
      <c r="E13" s="13" t="inlineStr">
        <is>
          <t>Cluster 1</t>
        </is>
      </c>
      <c r="F13" s="21" t="n">
        <v>0.35</v>
      </c>
      <c r="G13" s="13" t="inlineStr">
        <is>
          <t>Cluster 3</t>
        </is>
      </c>
      <c r="H13" s="13" t="inlineStr">
        <is>
          <t>Cluster 1</t>
        </is>
      </c>
      <c r="I13" s="13">
        <f>IF(E13=G13, "CONGRUENT", "DISCORDANT")</f>
        <v/>
      </c>
    </row>
    <row r="14" ht="19" customHeight="1">
      <c r="A14" s="16" t="inlineStr">
        <is>
          <t>WINE-012</t>
        </is>
      </c>
      <c r="B14" s="17" t="inlineStr">
        <is>
          <t>Piedmont (Barolo Zone)</t>
        </is>
      </c>
      <c r="C14" s="22" t="n">
        <v>-1.642</v>
      </c>
      <c r="D14" s="22" t="n">
        <v>-0.799</v>
      </c>
      <c r="E14" s="16" t="inlineStr">
        <is>
          <t>Cluster 1</t>
        </is>
      </c>
      <c r="F14" s="22" t="n">
        <v>0.242</v>
      </c>
      <c r="G14" s="16" t="inlineStr">
        <is>
          <t>Cluster 3</t>
        </is>
      </c>
      <c r="H14" s="16" t="inlineStr">
        <is>
          <t>Cluster 1</t>
        </is>
      </c>
      <c r="I14" s="16">
        <f>IF(E14=G14, "CONGRUENT", "DISCORDANT")</f>
        <v/>
      </c>
    </row>
    <row r="15" ht="19" customHeight="1">
      <c r="A15" s="13" t="inlineStr">
        <is>
          <t>WINE-013</t>
        </is>
      </c>
      <c r="B15" s="14" t="inlineStr">
        <is>
          <t>Piedmont (Barolo Zone)</t>
        </is>
      </c>
      <c r="C15" s="21" t="n">
        <v>-2.185</v>
      </c>
      <c r="D15" s="21" t="n">
        <v>-0.698</v>
      </c>
      <c r="E15" s="13" t="inlineStr">
        <is>
          <t>Cluster 1</t>
        </is>
      </c>
      <c r="F15" s="21" t="n">
        <v>0.306</v>
      </c>
      <c r="G15" s="13" t="inlineStr">
        <is>
          <t>Cluster 3</t>
        </is>
      </c>
      <c r="H15" s="13" t="inlineStr">
        <is>
          <t>Cluster 1</t>
        </is>
      </c>
      <c r="I15" s="13">
        <f>IF(E15=G15, "CONGRUENT", "DISCORDANT")</f>
        <v/>
      </c>
    </row>
    <row r="16" ht="19" customHeight="1">
      <c r="A16" s="16" t="inlineStr">
        <is>
          <t>WINE-014</t>
        </is>
      </c>
      <c r="B16" s="17" t="inlineStr">
        <is>
          <t>Piedmont (Barolo Zone)</t>
        </is>
      </c>
      <c r="C16" s="22" t="n">
        <v>-3.404</v>
      </c>
      <c r="D16" s="22" t="n">
        <v>-1.163</v>
      </c>
      <c r="E16" s="16" t="inlineStr">
        <is>
          <t>Cluster 1</t>
        </is>
      </c>
      <c r="F16" s="22" t="n">
        <v>0.257</v>
      </c>
      <c r="G16" s="16" t="inlineStr">
        <is>
          <t>Cluster 3</t>
        </is>
      </c>
      <c r="H16" s="16" t="inlineStr">
        <is>
          <t>Cluster 1</t>
        </is>
      </c>
      <c r="I16" s="16">
        <f>IF(E16=G16, "CONGRUENT", "DISCORDANT")</f>
        <v/>
      </c>
    </row>
    <row r="17" ht="19" customHeight="1">
      <c r="A17" s="13" t="inlineStr">
        <is>
          <t>WINE-015</t>
        </is>
      </c>
      <c r="B17" s="14" t="inlineStr">
        <is>
          <t>Piedmont (Barolo Zone)</t>
        </is>
      </c>
      <c r="C17" s="21" t="n">
        <v>-4.265</v>
      </c>
      <c r="D17" s="21" t="n">
        <v>-2.25</v>
      </c>
      <c r="E17" s="13" t="inlineStr">
        <is>
          <t>Cluster 1</t>
        </is>
      </c>
      <c r="F17" s="21" t="n">
        <v>0.367</v>
      </c>
      <c r="G17" s="13" t="inlineStr">
        <is>
          <t>Cluster 3</t>
        </is>
      </c>
      <c r="H17" s="13" t="inlineStr">
        <is>
          <t>Cluster 1</t>
        </is>
      </c>
      <c r="I17" s="13">
        <f>IF(E17=G17, "CONGRUENT", "DISCORDANT")</f>
        <v/>
      </c>
    </row>
    <row r="18" ht="19" customHeight="1">
      <c r="A18" s="16" t="inlineStr">
        <is>
          <t>WINE-016</t>
        </is>
      </c>
      <c r="B18" s="17" t="inlineStr">
        <is>
          <t>Piedmont (Barolo Zone)</t>
        </is>
      </c>
      <c r="C18" s="22" t="n">
        <v>-2.392</v>
      </c>
      <c r="D18" s="22" t="n">
        <v>-1.578</v>
      </c>
      <c r="E18" s="16" t="inlineStr">
        <is>
          <t>Cluster 1</t>
        </is>
      </c>
      <c r="F18" s="22" t="n">
        <v>0.33</v>
      </c>
      <c r="G18" s="16" t="inlineStr">
        <is>
          <t>Cluster 3</t>
        </is>
      </c>
      <c r="H18" s="16" t="inlineStr">
        <is>
          <t>Cluster 1</t>
        </is>
      </c>
      <c r="I18" s="16">
        <f>IF(E18=G18, "CONGRUENT", "DISCORDANT")</f>
        <v/>
      </c>
    </row>
    <row r="19" ht="19" customHeight="1">
      <c r="A19" s="13" t="inlineStr">
        <is>
          <t>WINE-017</t>
        </is>
      </c>
      <c r="B19" s="14" t="inlineStr">
        <is>
          <t>Piedmont (Barolo Zone)</t>
        </is>
      </c>
      <c r="C19" s="21" t="n">
        <v>-2.048</v>
      </c>
      <c r="D19" s="21" t="n">
        <v>-2.359</v>
      </c>
      <c r="E19" s="13" t="inlineStr">
        <is>
          <t>Cluster 1</t>
        </is>
      </c>
      <c r="F19" s="21" t="n">
        <v>0.365</v>
      </c>
      <c r="G19" s="13" t="inlineStr">
        <is>
          <t>Cluster 3</t>
        </is>
      </c>
      <c r="H19" s="13" t="inlineStr">
        <is>
          <t>Cluster 1</t>
        </is>
      </c>
      <c r="I19" s="13">
        <f>IF(E19=G19, "CONGRUENT", "DISCORDANT")</f>
        <v/>
      </c>
    </row>
    <row r="20" ht="19" customHeight="1">
      <c r="A20" s="16" t="inlineStr">
        <is>
          <t>WINE-018</t>
        </is>
      </c>
      <c r="B20" s="17" t="inlineStr">
        <is>
          <t>Piedmont (Barolo Zone)</t>
        </is>
      </c>
      <c r="C20" s="22" t="n">
        <v>-1.943</v>
      </c>
      <c r="D20" s="22" t="n">
        <v>-1.571</v>
      </c>
      <c r="E20" s="16" t="inlineStr">
        <is>
          <t>Cluster 1</t>
        </is>
      </c>
      <c r="F20" s="22" t="n">
        <v>0.332</v>
      </c>
      <c r="G20" s="16" t="inlineStr">
        <is>
          <t>Cluster 3</t>
        </is>
      </c>
      <c r="H20" s="16" t="inlineStr">
        <is>
          <t>Cluster 1</t>
        </is>
      </c>
      <c r="I20" s="16">
        <f>IF(E20=G20, "CONGRUENT", "DISCORDANT")</f>
        <v/>
      </c>
    </row>
    <row r="21" ht="19" customHeight="1">
      <c r="A21" s="13" t="inlineStr">
        <is>
          <t>WINE-019</t>
        </is>
      </c>
      <c r="B21" s="14" t="inlineStr">
        <is>
          <t>Piedmont (Barolo Zone)</t>
        </is>
      </c>
      <c r="C21" s="21" t="n">
        <v>-3.656</v>
      </c>
      <c r="D21" s="21" t="n">
        <v>-2.431</v>
      </c>
      <c r="E21" s="13" t="inlineStr">
        <is>
          <t>Cluster 1</t>
        </is>
      </c>
      <c r="F21" s="21" t="n">
        <v>0.311</v>
      </c>
      <c r="G21" s="13" t="inlineStr">
        <is>
          <t>Cluster 3</t>
        </is>
      </c>
      <c r="H21" s="13" t="inlineStr">
        <is>
          <t>Cluster 1</t>
        </is>
      </c>
      <c r="I21" s="13">
        <f>IF(E21=G21, "CONGRUENT", "DISCORDANT")</f>
        <v/>
      </c>
    </row>
    <row r="22" ht="19" customHeight="1">
      <c r="A22" s="16" t="inlineStr">
        <is>
          <t>WINE-020</t>
        </is>
      </c>
      <c r="B22" s="17" t="inlineStr">
        <is>
          <t>Piedmont (Barolo Zone)</t>
        </is>
      </c>
      <c r="C22" s="22" t="n">
        <v>-1.879</v>
      </c>
      <c r="D22" s="22" t="n">
        <v>-1.209</v>
      </c>
      <c r="E22" s="16" t="inlineStr">
        <is>
          <t>Cluster 1</t>
        </is>
      </c>
      <c r="F22" s="22" t="n">
        <v>0.26</v>
      </c>
      <c r="G22" s="16" t="inlineStr">
        <is>
          <t>Cluster 3</t>
        </is>
      </c>
      <c r="H22" s="16" t="inlineStr">
        <is>
          <t>Cluster 1</t>
        </is>
      </c>
      <c r="I22" s="16">
        <f>IF(E22=G22, "CONGRUENT", "DISCORDANT")</f>
        <v/>
      </c>
    </row>
    <row r="23" ht="19" customHeight="1">
      <c r="A23" s="13" t="inlineStr">
        <is>
          <t>WINE-021</t>
        </is>
      </c>
      <c r="B23" s="14" t="inlineStr">
        <is>
          <t>Piedmont (Barolo Zone)</t>
        </is>
      </c>
      <c r="C23" s="21" t="n">
        <v>-3.399</v>
      </c>
      <c r="D23" s="21" t="n">
        <v>-0.537</v>
      </c>
      <c r="E23" s="13" t="inlineStr">
        <is>
          <t>Cluster 1</t>
        </is>
      </c>
      <c r="F23" s="21" t="n">
        <v>0.285</v>
      </c>
      <c r="G23" s="13" t="inlineStr">
        <is>
          <t>Cluster 3</t>
        </is>
      </c>
      <c r="H23" s="13" t="inlineStr">
        <is>
          <t>Cluster 1</t>
        </is>
      </c>
      <c r="I23" s="13">
        <f>IF(E23=G23, "CONGRUENT", "DISCORDANT")</f>
        <v/>
      </c>
    </row>
    <row r="24" ht="19" customHeight="1">
      <c r="A24" s="16" t="inlineStr">
        <is>
          <t>WINE-022</t>
        </is>
      </c>
      <c r="B24" s="17" t="inlineStr">
        <is>
          <t>Piedmont (Barolo Zone)</t>
        </is>
      </c>
      <c r="C24" s="22" t="n">
        <v>-0.972</v>
      </c>
      <c r="D24" s="22" t="n">
        <v>-0.321</v>
      </c>
      <c r="E24" s="16" t="inlineStr">
        <is>
          <t>Cluster 1</t>
        </is>
      </c>
      <c r="F24" s="22" t="n">
        <v>0.095</v>
      </c>
      <c r="G24" s="16" t="inlineStr">
        <is>
          <t>Cluster 3</t>
        </is>
      </c>
      <c r="H24" s="16" t="inlineStr">
        <is>
          <t>Cluster 1</t>
        </is>
      </c>
      <c r="I24" s="16">
        <f>IF(E24=G24, "CONGRUENT", "DISCORDANT")</f>
        <v/>
      </c>
    </row>
    <row r="25" ht="19" customHeight="1">
      <c r="A25" s="13" t="inlineStr">
        <is>
          <t>WINE-023</t>
        </is>
      </c>
      <c r="B25" s="14" t="inlineStr">
        <is>
          <t>Piedmont (Barolo Zone)</t>
        </is>
      </c>
      <c r="C25" s="21" t="n">
        <v>-2.265</v>
      </c>
      <c r="D25" s="21" t="n">
        <v>-0.276</v>
      </c>
      <c r="E25" s="13" t="inlineStr">
        <is>
          <t>Cluster 1</t>
        </is>
      </c>
      <c r="F25" s="21" t="n">
        <v>0.215</v>
      </c>
      <c r="G25" s="13" t="inlineStr">
        <is>
          <t>Cluster 3</t>
        </is>
      </c>
      <c r="H25" s="13" t="inlineStr">
        <is>
          <t>Cluster 1</t>
        </is>
      </c>
      <c r="I25" s="13">
        <f>IF(E25=G25, "CONGRUENT", "DISCORDANT")</f>
        <v/>
      </c>
    </row>
    <row r="26" ht="19" customHeight="1">
      <c r="A26" s="16" t="inlineStr">
        <is>
          <t>WINE-024</t>
        </is>
      </c>
      <c r="B26" s="17" t="inlineStr">
        <is>
          <t>Piedmont (Barolo Zone)</t>
        </is>
      </c>
      <c r="C26" s="22" t="n">
        <v>-1.739</v>
      </c>
      <c r="D26" s="22" t="n">
        <v>0.617</v>
      </c>
      <c r="E26" s="16" t="inlineStr">
        <is>
          <t>Cluster 1</t>
        </is>
      </c>
      <c r="F26" s="22" t="n">
        <v>0.098</v>
      </c>
      <c r="G26" s="16" t="inlineStr">
        <is>
          <t>Cluster 3</t>
        </is>
      </c>
      <c r="H26" s="16" t="inlineStr">
        <is>
          <t>Cluster 1</t>
        </is>
      </c>
      <c r="I26" s="16">
        <f>IF(E26=G26, "CONGRUENT", "DISCORDANT")</f>
        <v/>
      </c>
    </row>
    <row r="27" ht="19" customHeight="1">
      <c r="A27" s="13" t="inlineStr">
        <is>
          <t>WINE-025</t>
        </is>
      </c>
      <c r="B27" s="14" t="inlineStr">
        <is>
          <t>Piedmont (Barolo Zone)</t>
        </is>
      </c>
      <c r="C27" s="21" t="n">
        <v>-1.65</v>
      </c>
      <c r="D27" s="21" t="n">
        <v>0.151</v>
      </c>
      <c r="E27" s="13" t="inlineStr">
        <is>
          <t>Cluster 1</t>
        </is>
      </c>
      <c r="F27" s="21" t="n">
        <v>0.133</v>
      </c>
      <c r="G27" s="13" t="inlineStr">
        <is>
          <t>Cluster 3</t>
        </is>
      </c>
      <c r="H27" s="13" t="inlineStr">
        <is>
          <t>Cluster 1</t>
        </is>
      </c>
      <c r="I27" s="13">
        <f>IF(E27=G27, "CONGRUENT", "DISCORDANT")</f>
        <v/>
      </c>
    </row>
    <row r="28" ht="19" customHeight="1">
      <c r="A28" s="16" t="inlineStr">
        <is>
          <t>WINE-026</t>
        </is>
      </c>
      <c r="B28" s="17" t="inlineStr">
        <is>
          <t>Piedmont (Barolo Zone)</t>
        </is>
      </c>
      <c r="C28" s="22" t="n">
        <v>-1.141</v>
      </c>
      <c r="D28" s="22" t="n">
        <v>-0.715</v>
      </c>
      <c r="E28" s="16" t="inlineStr">
        <is>
          <t>Cluster 1</t>
        </is>
      </c>
      <c r="F28" s="22" t="n">
        <v>0.095</v>
      </c>
      <c r="G28" s="16" t="inlineStr">
        <is>
          <t>Cluster 3</t>
        </is>
      </c>
      <c r="H28" s="16" t="inlineStr">
        <is>
          <t>Cluster 1</t>
        </is>
      </c>
      <c r="I28" s="16">
        <f>IF(E28=G28, "CONGRUENT", "DISCORDANT")</f>
        <v/>
      </c>
    </row>
    <row r="29" ht="19" customHeight="1">
      <c r="A29" s="13" t="inlineStr">
        <is>
          <t>WINE-027</t>
        </is>
      </c>
      <c r="B29" s="14" t="inlineStr">
        <is>
          <t>Piedmont (Barolo Zone)</t>
        </is>
      </c>
      <c r="C29" s="21" t="n">
        <v>-1.831</v>
      </c>
      <c r="D29" s="21" t="n">
        <v>-0.5669999999999999</v>
      </c>
      <c r="E29" s="13" t="inlineStr">
        <is>
          <t>Cluster 1</t>
        </is>
      </c>
      <c r="F29" s="21" t="n">
        <v>0.187</v>
      </c>
      <c r="G29" s="13" t="inlineStr">
        <is>
          <t>Cluster 3</t>
        </is>
      </c>
      <c r="H29" s="13" t="inlineStr">
        <is>
          <t>Cluster 1</t>
        </is>
      </c>
      <c r="I29" s="13">
        <f>IF(E29=G29, "CONGRUENT", "DISCORDANT")</f>
        <v/>
      </c>
    </row>
    <row r="30" ht="19" customHeight="1">
      <c r="A30" s="16" t="inlineStr">
        <is>
          <t>WINE-028</t>
        </is>
      </c>
      <c r="B30" s="17" t="inlineStr">
        <is>
          <t>Piedmont (Barolo Zone)</t>
        </is>
      </c>
      <c r="C30" s="22" t="n">
        <v>-1.161</v>
      </c>
      <c r="D30" s="22" t="n">
        <v>0.03</v>
      </c>
      <c r="E30" s="16" t="inlineStr">
        <is>
          <t>Cluster 1</t>
        </is>
      </c>
      <c r="F30" s="22" t="n">
        <v>0.124</v>
      </c>
      <c r="G30" s="16" t="inlineStr">
        <is>
          <t>Cluster 3</t>
        </is>
      </c>
      <c r="H30" s="16" t="inlineStr">
        <is>
          <t>Cluster 1</t>
        </is>
      </c>
      <c r="I30" s="16">
        <f>IF(E30=G30, "CONGRUENT", "DISCORDANT")</f>
        <v/>
      </c>
    </row>
    <row r="31" ht="19" customHeight="1">
      <c r="A31" s="13" t="inlineStr">
        <is>
          <t>WINE-029</t>
        </is>
      </c>
      <c r="B31" s="14" t="inlineStr">
        <is>
          <t>Piedmont (Barolo Zone)</t>
        </is>
      </c>
      <c r="C31" s="21" t="n">
        <v>-2.31</v>
      </c>
      <c r="D31" s="21" t="n">
        <v>-0.5669999999999999</v>
      </c>
      <c r="E31" s="13" t="inlineStr">
        <is>
          <t>Cluster 1</t>
        </is>
      </c>
      <c r="F31" s="21" t="n">
        <v>0.266</v>
      </c>
      <c r="G31" s="13" t="inlineStr">
        <is>
          <t>Cluster 3</t>
        </is>
      </c>
      <c r="H31" s="13" t="inlineStr">
        <is>
          <t>Cluster 1</t>
        </is>
      </c>
      <c r="I31" s="13">
        <f>IF(E31=G31, "CONGRUENT", "DISCORDANT")</f>
        <v/>
      </c>
    </row>
    <row r="32" ht="19" customHeight="1">
      <c r="A32" s="16" t="inlineStr">
        <is>
          <t>WINE-030</t>
        </is>
      </c>
      <c r="B32" s="17" t="inlineStr">
        <is>
          <t>Piedmont (Barolo Zone)</t>
        </is>
      </c>
      <c r="C32" s="22" t="n">
        <v>-2.3</v>
      </c>
      <c r="D32" s="22" t="n">
        <v>-0.263</v>
      </c>
      <c r="E32" s="16" t="inlineStr">
        <is>
          <t>Cluster 1</t>
        </is>
      </c>
      <c r="F32" s="22" t="n">
        <v>0.276</v>
      </c>
      <c r="G32" s="16" t="inlineStr">
        <is>
          <t>Cluster 3</t>
        </is>
      </c>
      <c r="H32" s="16" t="inlineStr">
        <is>
          <t>Cluster 1</t>
        </is>
      </c>
      <c r="I32" s="16">
        <f>IF(E32=G32, "CONGRUENT", "DISCORDANT")</f>
        <v/>
      </c>
    </row>
    <row r="33" ht="19" customHeight="1">
      <c r="A33" s="13" t="inlineStr">
        <is>
          <t>WINE-031</t>
        </is>
      </c>
      <c r="B33" s="14" t="inlineStr">
        <is>
          <t>Piedmont (Barolo Zone)</t>
        </is>
      </c>
      <c r="C33" s="21" t="n">
        <v>-2.608</v>
      </c>
      <c r="D33" s="21" t="n">
        <v>-1.121</v>
      </c>
      <c r="E33" s="13" t="inlineStr">
        <is>
          <t>Cluster 1</t>
        </is>
      </c>
      <c r="F33" s="21" t="n">
        <v>0.292</v>
      </c>
      <c r="G33" s="13" t="inlineStr">
        <is>
          <t>Cluster 3</t>
        </is>
      </c>
      <c r="H33" s="13" t="inlineStr">
        <is>
          <t>Cluster 1</t>
        </is>
      </c>
      <c r="I33" s="13">
        <f>IF(E33=G33, "CONGRUENT", "DISCORDANT")</f>
        <v/>
      </c>
    </row>
    <row r="34" ht="19" customHeight="1">
      <c r="A34" s="16" t="inlineStr">
        <is>
          <t>WINE-032</t>
        </is>
      </c>
      <c r="B34" s="17" t="inlineStr">
        <is>
          <t>Piedmont (Barolo Zone)</t>
        </is>
      </c>
      <c r="C34" s="22" t="n">
        <v>-2.934</v>
      </c>
      <c r="D34" s="22" t="n">
        <v>-1.228</v>
      </c>
      <c r="E34" s="16" t="inlineStr">
        <is>
          <t>Cluster 1</t>
        </is>
      </c>
      <c r="F34" s="22" t="n">
        <v>0.33</v>
      </c>
      <c r="G34" s="16" t="inlineStr">
        <is>
          <t>Cluster 3</t>
        </is>
      </c>
      <c r="H34" s="16" t="inlineStr">
        <is>
          <t>Cluster 1</t>
        </is>
      </c>
      <c r="I34" s="16">
        <f>IF(E34=G34, "CONGRUENT", "DISCORDANT")</f>
        <v/>
      </c>
    </row>
    <row r="35" ht="19" customHeight="1">
      <c r="A35" s="13" t="inlineStr">
        <is>
          <t>WINE-033</t>
        </is>
      </c>
      <c r="B35" s="14" t="inlineStr">
        <is>
          <t>Piedmont (Barolo Zone)</t>
        </is>
      </c>
      <c r="C35" s="21" t="n">
        <v>-1.619</v>
      </c>
      <c r="D35" s="21" t="n">
        <v>-0.131</v>
      </c>
      <c r="E35" s="13" t="inlineStr">
        <is>
          <t>Cluster 1</t>
        </is>
      </c>
      <c r="F35" s="21" t="n">
        <v>0.203</v>
      </c>
      <c r="G35" s="13" t="inlineStr">
        <is>
          <t>Cluster 3</t>
        </is>
      </c>
      <c r="H35" s="13" t="inlineStr">
        <is>
          <t>Cluster 1</t>
        </is>
      </c>
      <c r="I35" s="13">
        <f>IF(E35=G35, "CONGRUENT", "DISCORDANT")</f>
        <v/>
      </c>
    </row>
    <row r="36" ht="19" customHeight="1">
      <c r="A36" s="16" t="inlineStr">
        <is>
          <t>WINE-034</t>
        </is>
      </c>
      <c r="B36" s="17" t="inlineStr">
        <is>
          <t>Piedmont (Barolo Zone)</t>
        </is>
      </c>
      <c r="C36" s="22" t="n">
        <v>-1.815</v>
      </c>
      <c r="D36" s="22" t="n">
        <v>-1.739</v>
      </c>
      <c r="E36" s="16" t="inlineStr">
        <is>
          <t>Cluster 1</t>
        </is>
      </c>
      <c r="F36" s="22" t="n">
        <v>0.278</v>
      </c>
      <c r="G36" s="16" t="inlineStr">
        <is>
          <t>Cluster 3</t>
        </is>
      </c>
      <c r="H36" s="16" t="inlineStr">
        <is>
          <t>Cluster 1</t>
        </is>
      </c>
      <c r="I36" s="16">
        <f>IF(E36=G36, "CONGRUENT", "DISCORDANT")</f>
        <v/>
      </c>
    </row>
    <row r="37" ht="19" customHeight="1">
      <c r="A37" s="13" t="inlineStr">
        <is>
          <t>WINE-035</t>
        </is>
      </c>
      <c r="B37" s="14" t="inlineStr">
        <is>
          <t>Piedmont (Barolo Zone)</t>
        </is>
      </c>
      <c r="C37" s="21" t="n">
        <v>-1.219</v>
      </c>
      <c r="D37" s="21" t="n">
        <v>-1.166</v>
      </c>
      <c r="E37" s="13" t="inlineStr">
        <is>
          <t>Cluster 1</t>
        </is>
      </c>
      <c r="F37" s="21" t="n">
        <v>0.199</v>
      </c>
      <c r="G37" s="13" t="inlineStr">
        <is>
          <t>Cluster 3</t>
        </is>
      </c>
      <c r="H37" s="13" t="inlineStr">
        <is>
          <t>Cluster 1</t>
        </is>
      </c>
      <c r="I37" s="13">
        <f>IF(E37=G37, "CONGRUENT", "DISCORDANT")</f>
        <v/>
      </c>
    </row>
    <row r="38" ht="19" customHeight="1">
      <c r="A38" s="16" t="inlineStr">
        <is>
          <t>WINE-036</t>
        </is>
      </c>
      <c r="B38" s="17" t="inlineStr">
        <is>
          <t>Piedmont (Barolo Zone)</t>
        </is>
      </c>
      <c r="C38" s="22" t="n">
        <v>-1.825</v>
      </c>
      <c r="D38" s="22" t="n">
        <v>-0.254</v>
      </c>
      <c r="E38" s="16" t="inlineStr">
        <is>
          <t>Cluster 1</t>
        </is>
      </c>
      <c r="F38" s="22" t="n">
        <v>0.206</v>
      </c>
      <c r="G38" s="16" t="inlineStr">
        <is>
          <t>Cluster 3</t>
        </is>
      </c>
      <c r="H38" s="16" t="inlineStr">
        <is>
          <t>Cluster 1</t>
        </is>
      </c>
      <c r="I38" s="16">
        <f>IF(E38=G38, "CONGRUENT", "DISCORDANT")</f>
        <v/>
      </c>
    </row>
    <row r="39" ht="19" customHeight="1">
      <c r="A39" s="13" t="inlineStr">
        <is>
          <t>WINE-037</t>
        </is>
      </c>
      <c r="B39" s="14" t="inlineStr">
        <is>
          <t>Piedmont (Barolo Zone)</t>
        </is>
      </c>
      <c r="C39" s="21" t="n">
        <v>-1.339</v>
      </c>
      <c r="D39" s="21" t="n">
        <v>-1.02</v>
      </c>
      <c r="E39" s="13" t="inlineStr">
        <is>
          <t>Cluster 1</t>
        </is>
      </c>
      <c r="F39" s="21" t="n">
        <v>0.178</v>
      </c>
      <c r="G39" s="13" t="inlineStr">
        <is>
          <t>Cluster 3</t>
        </is>
      </c>
      <c r="H39" s="13" t="inlineStr">
        <is>
          <t>Cluster 1</t>
        </is>
      </c>
      <c r="I39" s="13">
        <f>IF(E39=G39, "CONGRUENT", "DISCORDANT")</f>
        <v/>
      </c>
    </row>
    <row r="40" ht="19" customHeight="1">
      <c r="A40" s="16" t="inlineStr">
        <is>
          <t>WINE-038</t>
        </is>
      </c>
      <c r="B40" s="17" t="inlineStr">
        <is>
          <t>Piedmont (Barolo Zone)</t>
        </is>
      </c>
      <c r="C40" s="22" t="n">
        <v>-1.219</v>
      </c>
      <c r="D40" s="22" t="n">
        <v>0.039</v>
      </c>
      <c r="E40" s="16" t="inlineStr">
        <is>
          <t>Cluster 1</t>
        </is>
      </c>
      <c r="F40" s="22" t="n">
        <v>0.133</v>
      </c>
      <c r="G40" s="16" t="inlineStr">
        <is>
          <t>Cluster 3</t>
        </is>
      </c>
      <c r="H40" s="16" t="inlineStr">
        <is>
          <t>Cluster 1</t>
        </is>
      </c>
      <c r="I40" s="16">
        <f>IF(E40=G40, "CONGRUENT", "DISCORDANT")</f>
        <v/>
      </c>
    </row>
    <row r="41" ht="19" customHeight="1">
      <c r="A41" s="13" t="inlineStr">
        <is>
          <t>WINE-039</t>
        </is>
      </c>
      <c r="B41" s="14" t="inlineStr">
        <is>
          <t>Piedmont (Barolo Zone)</t>
        </is>
      </c>
      <c r="C41" s="21" t="n">
        <v>-1.636</v>
      </c>
      <c r="D41" s="21" t="n">
        <v>0.912</v>
      </c>
      <c r="E41" s="13" t="inlineStr">
        <is>
          <t>Cluster 1</t>
        </is>
      </c>
      <c r="F41" s="21" t="n">
        <v>0.053</v>
      </c>
      <c r="G41" s="13" t="inlineStr">
        <is>
          <t>Cluster 3</t>
        </is>
      </c>
      <c r="H41" s="13" t="inlineStr">
        <is>
          <t>Cluster 1</t>
        </is>
      </c>
      <c r="I41" s="13">
        <f>IF(E41=G41, "CONGRUENT", "DISCORDANT")</f>
        <v/>
      </c>
    </row>
    <row r="42" ht="19" customHeight="1">
      <c r="A42" s="16" t="inlineStr">
        <is>
          <t>WINE-040</t>
        </is>
      </c>
      <c r="B42" s="17" t="inlineStr">
        <is>
          <t>Piedmont (Barolo Zone)</t>
        </is>
      </c>
      <c r="C42" s="22" t="n">
        <v>-2.372</v>
      </c>
      <c r="D42" s="22" t="n">
        <v>-1.888</v>
      </c>
      <c r="E42" s="16" t="inlineStr">
        <is>
          <t>Cluster 1</t>
        </is>
      </c>
      <c r="F42" s="22" t="n">
        <v>0.266</v>
      </c>
      <c r="G42" s="16" t="inlineStr">
        <is>
          <t>Cluster 3</t>
        </is>
      </c>
      <c r="H42" s="16" t="inlineStr">
        <is>
          <t>Cluster 1</t>
        </is>
      </c>
      <c r="I42" s="16">
        <f>IF(E42=G42, "CONGRUENT", "DISCORDANT")</f>
        <v/>
      </c>
    </row>
    <row r="43" ht="19" customHeight="1">
      <c r="A43" s="13" t="inlineStr">
        <is>
          <t>WINE-041</t>
        </is>
      </c>
      <c r="B43" s="14" t="inlineStr">
        <is>
          <t>Piedmont (Barolo Zone)</t>
        </is>
      </c>
      <c r="C43" s="21" t="n">
        <v>-2.663</v>
      </c>
      <c r="D43" s="21" t="n">
        <v>-0.896</v>
      </c>
      <c r="E43" s="13" t="inlineStr">
        <is>
          <t>Cluster 1</t>
        </is>
      </c>
      <c r="F43" s="21" t="n">
        <v>0.249</v>
      </c>
      <c r="G43" s="13" t="inlineStr">
        <is>
          <t>Cluster 3</t>
        </is>
      </c>
      <c r="H43" s="13" t="inlineStr">
        <is>
          <t>Cluster 1</t>
        </is>
      </c>
      <c r="I43" s="13">
        <f>IF(E43=G43, "CONGRUENT", "DISCORDANT")</f>
        <v/>
      </c>
    </row>
    <row r="44" ht="19" customHeight="1">
      <c r="A44" s="16" t="inlineStr">
        <is>
          <t>WINE-042</t>
        </is>
      </c>
      <c r="B44" s="17" t="inlineStr">
        <is>
          <t>Piedmont (Barolo Zone)</t>
        </is>
      </c>
      <c r="C44" s="22" t="n">
        <v>-0.615</v>
      </c>
      <c r="D44" s="22" t="n">
        <v>-0.449</v>
      </c>
      <c r="E44" s="16" t="inlineStr">
        <is>
          <t>Cluster 1</t>
        </is>
      </c>
      <c r="F44" s="22" t="n">
        <v>0.078</v>
      </c>
      <c r="G44" s="16" t="inlineStr">
        <is>
          <t>Cluster 3</t>
        </is>
      </c>
      <c r="H44" s="16" t="inlineStr">
        <is>
          <t>Cluster 1</t>
        </is>
      </c>
      <c r="I44" s="16">
        <f>IF(E44=G44, "CONGRUENT", "DISCORDANT")</f>
        <v/>
      </c>
    </row>
    <row r="45" ht="19" customHeight="1">
      <c r="A45" s="13" t="inlineStr">
        <is>
          <t>WINE-043</t>
        </is>
      </c>
      <c r="B45" s="14" t="inlineStr">
        <is>
          <t>Piedmont (Barolo Zone)</t>
        </is>
      </c>
      <c r="C45" s="21" t="n">
        <v>-2.96</v>
      </c>
      <c r="D45" s="21" t="n">
        <v>-1.203</v>
      </c>
      <c r="E45" s="13" t="inlineStr">
        <is>
          <t>Cluster 1</t>
        </is>
      </c>
      <c r="F45" s="21" t="n">
        <v>0.318</v>
      </c>
      <c r="G45" s="13" t="inlineStr">
        <is>
          <t>Cluster 3</t>
        </is>
      </c>
      <c r="H45" s="13" t="inlineStr">
        <is>
          <t>Cluster 1</t>
        </is>
      </c>
      <c r="I45" s="13">
        <f>IF(E45=G45, "CONGRUENT", "DISCORDANT")</f>
        <v/>
      </c>
    </row>
    <row r="46" ht="19" customHeight="1">
      <c r="A46" s="16" t="inlineStr">
        <is>
          <t>WINE-044</t>
        </is>
      </c>
      <c r="B46" s="17" t="inlineStr">
        <is>
          <t>Piedmont (Barolo Zone)</t>
        </is>
      </c>
      <c r="C46" s="22" t="n">
        <v>-0.743</v>
      </c>
      <c r="D46" s="22" t="n">
        <v>-0.202</v>
      </c>
      <c r="E46" s="16" t="inlineStr">
        <is>
          <t>Cluster 1</t>
        </is>
      </c>
      <c r="F46" s="22" t="n">
        <v>0.053</v>
      </c>
      <c r="G46" s="16" t="inlineStr">
        <is>
          <t>Cluster 3</t>
        </is>
      </c>
      <c r="H46" s="16" t="inlineStr">
        <is>
          <t>Cluster 1</t>
        </is>
      </c>
      <c r="I46" s="16">
        <f>IF(E46=G46, "CONGRUENT", "DISCORDANT")</f>
        <v/>
      </c>
    </row>
    <row r="47" ht="19" customHeight="1">
      <c r="A47" s="13" t="inlineStr">
        <is>
          <t>WINE-045</t>
        </is>
      </c>
      <c r="B47" s="14" t="inlineStr">
        <is>
          <t>Piedmont (Barolo Zone)</t>
        </is>
      </c>
      <c r="C47" s="21" t="n">
        <v>-2.227</v>
      </c>
      <c r="D47" s="21" t="n">
        <v>0.195</v>
      </c>
      <c r="E47" s="13" t="inlineStr">
        <is>
          <t>Cluster 1</t>
        </is>
      </c>
      <c r="F47" s="21" t="n">
        <v>0.178</v>
      </c>
      <c r="G47" s="13" t="inlineStr">
        <is>
          <t>Cluster 3</t>
        </is>
      </c>
      <c r="H47" s="13" t="inlineStr">
        <is>
          <t>Cluster 1</t>
        </is>
      </c>
      <c r="I47" s="13">
        <f>IF(E47=G47, "CONGRUENT", "DISCORDANT")</f>
        <v/>
      </c>
    </row>
    <row r="48" ht="19" customHeight="1">
      <c r="A48" s="16" t="inlineStr">
        <is>
          <t>WINE-046</t>
        </is>
      </c>
      <c r="B48" s="17" t="inlineStr">
        <is>
          <t>Piedmont (Barolo Zone)</t>
        </is>
      </c>
      <c r="C48" s="22" t="n">
        <v>-0.765</v>
      </c>
      <c r="D48" s="22" t="n">
        <v>-2.366</v>
      </c>
      <c r="E48" s="16" t="inlineStr">
        <is>
          <t>Cluster 1</t>
        </is>
      </c>
      <c r="F48" s="22" t="n">
        <v>0.187</v>
      </c>
      <c r="G48" s="16" t="inlineStr">
        <is>
          <t>Cluster 3</t>
        </is>
      </c>
      <c r="H48" s="16" t="inlineStr">
        <is>
          <t>Cluster 1</t>
        </is>
      </c>
      <c r="I48" s="16">
        <f>IF(E48=G48, "CONGRUENT", "DISCORDANT")</f>
        <v/>
      </c>
    </row>
    <row r="49" ht="19" customHeight="1">
      <c r="A49" s="13" t="inlineStr">
        <is>
          <t>WINE-047</t>
        </is>
      </c>
      <c r="B49" s="14" t="inlineStr">
        <is>
          <t>Piedmont (Barolo Zone)</t>
        </is>
      </c>
      <c r="C49" s="21" t="n">
        <v>-2.402</v>
      </c>
      <c r="D49" s="21" t="n">
        <v>-1.773</v>
      </c>
      <c r="E49" s="13" t="inlineStr">
        <is>
          <t>Cluster 1</t>
        </is>
      </c>
      <c r="F49" s="21" t="n">
        <v>0.284</v>
      </c>
      <c r="G49" s="13" t="inlineStr">
        <is>
          <t>Cluster 3</t>
        </is>
      </c>
      <c r="H49" s="13" t="inlineStr">
        <is>
          <t>Cluster 1</t>
        </is>
      </c>
      <c r="I49" s="13">
        <f>IF(E49=G49, "CONGRUENT", "DISCORDANT")</f>
        <v/>
      </c>
    </row>
    <row r="50" ht="19" customHeight="1">
      <c r="A50" s="16" t="inlineStr">
        <is>
          <t>WINE-048</t>
        </is>
      </c>
      <c r="B50" s="17" t="inlineStr">
        <is>
          <t>Piedmont (Barolo Zone)</t>
        </is>
      </c>
      <c r="C50" s="22" t="n">
        <v>-2.904</v>
      </c>
      <c r="D50" s="22" t="n">
        <v>-0.637</v>
      </c>
      <c r="E50" s="16" t="inlineStr">
        <is>
          <t>Cluster 1</t>
        </is>
      </c>
      <c r="F50" s="22" t="n">
        <v>0.304</v>
      </c>
      <c r="G50" s="16" t="inlineStr">
        <is>
          <t>Cluster 3</t>
        </is>
      </c>
      <c r="H50" s="16" t="inlineStr">
        <is>
          <t>Cluster 1</t>
        </is>
      </c>
      <c r="I50" s="16">
        <f>IF(E50=G50, "CONGRUENT", "DISCORDANT")</f>
        <v/>
      </c>
    </row>
    <row r="51" ht="19" customHeight="1">
      <c r="A51" s="13" t="inlineStr">
        <is>
          <t>WINE-049</t>
        </is>
      </c>
      <c r="B51" s="14" t="inlineStr">
        <is>
          <t>Piedmont (Barolo Zone)</t>
        </is>
      </c>
      <c r="C51" s="21" t="n">
        <v>-1.939</v>
      </c>
      <c r="D51" s="21" t="n">
        <v>-1.52</v>
      </c>
      <c r="E51" s="13" t="inlineStr">
        <is>
          <t>Cluster 1</t>
        </is>
      </c>
      <c r="F51" s="21" t="n">
        <v>0.312</v>
      </c>
      <c r="G51" s="13" t="inlineStr">
        <is>
          <t>Cluster 3</t>
        </is>
      </c>
      <c r="H51" s="13" t="inlineStr">
        <is>
          <t>Cluster 1</t>
        </is>
      </c>
      <c r="I51" s="13">
        <f>IF(E51=G51, "CONGRUENT", "DISCORDANT")</f>
        <v/>
      </c>
    </row>
    <row r="52" ht="19" customHeight="1">
      <c r="A52" s="16" t="inlineStr">
        <is>
          <t>WINE-050</t>
        </is>
      </c>
      <c r="B52" s="17" t="inlineStr">
        <is>
          <t>Piedmont (Barolo Zone)</t>
        </is>
      </c>
      <c r="C52" s="22" t="n">
        <v>-2.719</v>
      </c>
      <c r="D52" s="22" t="n">
        <v>-1.659</v>
      </c>
      <c r="E52" s="16" t="inlineStr">
        <is>
          <t>Cluster 1</t>
        </is>
      </c>
      <c r="F52" s="22" t="n">
        <v>0.32</v>
      </c>
      <c r="G52" s="16" t="inlineStr">
        <is>
          <t>Cluster 3</t>
        </is>
      </c>
      <c r="H52" s="16" t="inlineStr">
        <is>
          <t>Cluster 1</t>
        </is>
      </c>
      <c r="I52" s="16">
        <f>IF(E52=G52, "CONGRUENT", "DISCORDANT")</f>
        <v/>
      </c>
    </row>
    <row r="53" ht="19" customHeight="1">
      <c r="A53" s="13" t="inlineStr">
        <is>
          <t>WINE-051</t>
        </is>
      </c>
      <c r="B53" s="14" t="inlineStr">
        <is>
          <t>Piedmont (Barolo Zone)</t>
        </is>
      </c>
      <c r="C53" s="21" t="n">
        <v>-3.196</v>
      </c>
      <c r="D53" s="21" t="n">
        <v>-0.405</v>
      </c>
      <c r="E53" s="13" t="inlineStr">
        <is>
          <t>Cluster 1</t>
        </is>
      </c>
      <c r="F53" s="21" t="n">
        <v>0.218</v>
      </c>
      <c r="G53" s="13" t="inlineStr">
        <is>
          <t>Cluster 3</t>
        </is>
      </c>
      <c r="H53" s="13" t="inlineStr">
        <is>
          <t>Cluster 1</t>
        </is>
      </c>
      <c r="I53" s="13">
        <f>IF(E53=G53, "CONGRUENT", "DISCORDANT")</f>
        <v/>
      </c>
    </row>
    <row r="54" ht="19" customHeight="1">
      <c r="A54" s="16" t="inlineStr">
        <is>
          <t>WINE-052</t>
        </is>
      </c>
      <c r="B54" s="17" t="inlineStr">
        <is>
          <t>Piedmont (Barolo Zone)</t>
        </is>
      </c>
      <c r="C54" s="22" t="n">
        <v>-2.788</v>
      </c>
      <c r="D54" s="22" t="n">
        <v>-0.8090000000000001</v>
      </c>
      <c r="E54" s="16" t="inlineStr">
        <is>
          <t>Cluster 1</t>
        </is>
      </c>
      <c r="F54" s="22" t="n">
        <v>0.305</v>
      </c>
      <c r="G54" s="16" t="inlineStr">
        <is>
          <t>Cluster 3</t>
        </is>
      </c>
      <c r="H54" s="16" t="inlineStr">
        <is>
          <t>Cluster 1</t>
        </is>
      </c>
      <c r="I54" s="16">
        <f>IF(E54=G54, "CONGRUENT", "DISCORDANT")</f>
        <v/>
      </c>
    </row>
    <row r="55" ht="19" customHeight="1">
      <c r="A55" s="13" t="inlineStr">
        <is>
          <t>WINE-053</t>
        </is>
      </c>
      <c r="B55" s="14" t="inlineStr">
        <is>
          <t>Piedmont (Barolo Zone)</t>
        </is>
      </c>
      <c r="C55" s="21" t="n">
        <v>-3.31</v>
      </c>
      <c r="D55" s="21" t="n">
        <v>-1.827</v>
      </c>
      <c r="E55" s="13" t="inlineStr">
        <is>
          <t>Cluster 1</t>
        </is>
      </c>
      <c r="F55" s="21" t="n">
        <v>0.363</v>
      </c>
      <c r="G55" s="13" t="inlineStr">
        <is>
          <t>Cluster 3</t>
        </is>
      </c>
      <c r="H55" s="13" t="inlineStr">
        <is>
          <t>Cluster 1</t>
        </is>
      </c>
      <c r="I55" s="13">
        <f>IF(E55=G55, "CONGRUENT", "DISCORDANT")</f>
        <v/>
      </c>
    </row>
    <row r="56" ht="19" customHeight="1">
      <c r="A56" s="16" t="inlineStr">
        <is>
          <t>WINE-054</t>
        </is>
      </c>
      <c r="B56" s="17" t="inlineStr">
        <is>
          <t>Piedmont (Barolo Zone)</t>
        </is>
      </c>
      <c r="C56" s="22" t="n">
        <v>-2.026</v>
      </c>
      <c r="D56" s="22" t="n">
        <v>-2.054</v>
      </c>
      <c r="E56" s="16" t="inlineStr">
        <is>
          <t>Cluster 1</t>
        </is>
      </c>
      <c r="F56" s="22" t="n">
        <v>0.338</v>
      </c>
      <c r="G56" s="16" t="inlineStr">
        <is>
          <t>Cluster 3</t>
        </is>
      </c>
      <c r="H56" s="16" t="inlineStr">
        <is>
          <t>Cluster 1</t>
        </is>
      </c>
      <c r="I56" s="16">
        <f>IF(E56=G56, "CONGRUENT", "DISCORDANT")</f>
        <v/>
      </c>
    </row>
    <row r="57" ht="19" customHeight="1">
      <c r="A57" s="13" t="inlineStr">
        <is>
          <t>WINE-055</t>
        </is>
      </c>
      <c r="B57" s="14" t="inlineStr">
        <is>
          <t>Piedmont (Barolo Zone)</t>
        </is>
      </c>
      <c r="C57" s="21" t="n">
        <v>-2.085</v>
      </c>
      <c r="D57" s="21" t="n">
        <v>-1.185</v>
      </c>
      <c r="E57" s="13" t="inlineStr">
        <is>
          <t>Cluster 1</t>
        </is>
      </c>
      <c r="F57" s="21" t="n">
        <v>0.335</v>
      </c>
      <c r="G57" s="13" t="inlineStr">
        <is>
          <t>Cluster 3</t>
        </is>
      </c>
      <c r="H57" s="13" t="inlineStr">
        <is>
          <t>Cluster 1</t>
        </is>
      </c>
      <c r="I57" s="13">
        <f>IF(E57=G57, "CONGRUENT", "DISCORDANT")</f>
        <v/>
      </c>
    </row>
    <row r="58" ht="19" customHeight="1">
      <c r="A58" s="16" t="inlineStr">
        <is>
          <t>WINE-056</t>
        </is>
      </c>
      <c r="B58" s="17" t="inlineStr">
        <is>
          <t>Piedmont (Barolo Zone)</t>
        </is>
      </c>
      <c r="C58" s="22" t="n">
        <v>-2.556</v>
      </c>
      <c r="D58" s="22" t="n">
        <v>-1.221</v>
      </c>
      <c r="E58" s="16" t="inlineStr">
        <is>
          <t>Cluster 1</t>
        </is>
      </c>
      <c r="F58" s="22" t="n">
        <v>0.323</v>
      </c>
      <c r="G58" s="16" t="inlineStr">
        <is>
          <t>Cluster 3</t>
        </is>
      </c>
      <c r="H58" s="16" t="inlineStr">
        <is>
          <t>Cluster 1</t>
        </is>
      </c>
      <c r="I58" s="16">
        <f>IF(E58=G58, "CONGRUENT", "DISCORDANT")</f>
        <v/>
      </c>
    </row>
    <row r="59" ht="19" customHeight="1">
      <c r="A59" s="13" t="inlineStr">
        <is>
          <t>WINE-057</t>
        </is>
      </c>
      <c r="B59" s="14" t="inlineStr">
        <is>
          <t>Piedmont (Barolo Zone)</t>
        </is>
      </c>
      <c r="C59" s="21" t="n">
        <v>-2.773</v>
      </c>
      <c r="D59" s="21" t="n">
        <v>-1.534</v>
      </c>
      <c r="E59" s="13" t="inlineStr">
        <is>
          <t>Cluster 1</t>
        </is>
      </c>
      <c r="F59" s="21" t="n">
        <v>0.368</v>
      </c>
      <c r="G59" s="13" t="inlineStr">
        <is>
          <t>Cluster 3</t>
        </is>
      </c>
      <c r="H59" s="13" t="inlineStr">
        <is>
          <t>Cluster 1</t>
        </is>
      </c>
      <c r="I59" s="13">
        <f>IF(E59=G59, "CONGRUENT", "DISCORDANT")</f>
        <v/>
      </c>
    </row>
    <row r="60" ht="19" customHeight="1">
      <c r="A60" s="16" t="inlineStr">
        <is>
          <t>WINE-058</t>
        </is>
      </c>
      <c r="B60" s="17" t="inlineStr">
        <is>
          <t>Piedmont (Barolo Zone)</t>
        </is>
      </c>
      <c r="C60" s="22" t="n">
        <v>-1.961</v>
      </c>
      <c r="D60" s="22" t="n">
        <v>-1.298</v>
      </c>
      <c r="E60" s="16" t="inlineStr">
        <is>
          <t>Cluster 1</t>
        </is>
      </c>
      <c r="F60" s="22" t="n">
        <v>0.287</v>
      </c>
      <c r="G60" s="16" t="inlineStr">
        <is>
          <t>Cluster 3</t>
        </is>
      </c>
      <c r="H60" s="16" t="inlineStr">
        <is>
          <t>Cluster 1</t>
        </is>
      </c>
      <c r="I60" s="16">
        <f>IF(E60=G60, "CONGRUENT", "DISCORDANT")</f>
        <v/>
      </c>
    </row>
    <row r="61" ht="19" customHeight="1">
      <c r="A61" s="13" t="inlineStr">
        <is>
          <t>WINE-059</t>
        </is>
      </c>
      <c r="B61" s="14" t="inlineStr">
        <is>
          <t>Piedmont (Barolo Zone)</t>
        </is>
      </c>
      <c r="C61" s="21" t="n">
        <v>-3.12</v>
      </c>
      <c r="D61" s="21" t="n">
        <v>-1.917</v>
      </c>
      <c r="E61" s="13" t="inlineStr">
        <is>
          <t>Cluster 1</t>
        </is>
      </c>
      <c r="F61" s="21" t="n">
        <v>0.373</v>
      </c>
      <c r="G61" s="13" t="inlineStr">
        <is>
          <t>Cluster 3</t>
        </is>
      </c>
      <c r="H61" s="13" t="inlineStr">
        <is>
          <t>Cluster 1</t>
        </is>
      </c>
      <c r="I61" s="13">
        <f>IF(E61=G61, "CONGRUENT", "DISCORDANT")</f>
        <v/>
      </c>
    </row>
    <row r="62" ht="19" customHeight="1">
      <c r="A62" s="16" t="inlineStr">
        <is>
          <t>WINE-060</t>
        </is>
      </c>
      <c r="B62" s="17" t="inlineStr">
        <is>
          <t>Tuscany (Chianti Classico)</t>
        </is>
      </c>
      <c r="C62" s="22" t="n">
        <v>0.726</v>
      </c>
      <c r="D62" s="22" t="n">
        <v>2.923</v>
      </c>
      <c r="E62" s="16" t="inlineStr">
        <is>
          <t>Cluster 2</t>
        </is>
      </c>
      <c r="F62" s="22" t="n">
        <v>0.115</v>
      </c>
      <c r="G62" s="16" t="inlineStr">
        <is>
          <t>Cluster 1</t>
        </is>
      </c>
      <c r="H62" s="16" t="inlineStr">
        <is>
          <t>Cluster 1</t>
        </is>
      </c>
      <c r="I62" s="16">
        <f>IF(E62=G62, "CONGRUENT", "DISCORDANT")</f>
        <v/>
      </c>
    </row>
    <row r="63" ht="19" customHeight="1">
      <c r="A63" s="13" t="inlineStr">
        <is>
          <t>WINE-061</t>
        </is>
      </c>
      <c r="B63" s="14" t="inlineStr">
        <is>
          <t>Tuscany (Chianti Classico)</t>
        </is>
      </c>
      <c r="C63" s="21" t="n">
        <v>1.533</v>
      </c>
      <c r="D63" s="21" t="n">
        <v>1.428</v>
      </c>
      <c r="E63" s="13" t="inlineStr">
        <is>
          <t>Cluster 2</t>
        </is>
      </c>
      <c r="F63" s="21" t="n">
        <v>0.04</v>
      </c>
      <c r="G63" s="13" t="inlineStr">
        <is>
          <t>Cluster 1</t>
        </is>
      </c>
      <c r="H63" s="13" t="inlineStr">
        <is>
          <t>Cluster 1</t>
        </is>
      </c>
      <c r="I63" s="13">
        <f>IF(E63=G63, "CONGRUENT", "DISCORDANT")</f>
        <v/>
      </c>
    </row>
    <row r="64" ht="19" customHeight="1">
      <c r="A64" s="16" t="inlineStr">
        <is>
          <t>WINE-062</t>
        </is>
      </c>
      <c r="B64" s="17" t="inlineStr">
        <is>
          <t>Tuscany (Chianti Classico)</t>
        </is>
      </c>
      <c r="C64" s="22" t="n">
        <v>1.775</v>
      </c>
      <c r="D64" s="22" t="n">
        <v>0.675</v>
      </c>
      <c r="E64" s="16" t="inlineStr">
        <is>
          <t>Cluster 3</t>
        </is>
      </c>
      <c r="F64" s="22" t="n">
        <v>0.046</v>
      </c>
      <c r="G64" s="16" t="inlineStr">
        <is>
          <t>Cluster 1</t>
        </is>
      </c>
      <c r="H64" s="16" t="inlineStr">
        <is>
          <t>Cluster 1</t>
        </is>
      </c>
      <c r="I64" s="16">
        <f>IF(E64=G64, "CONGRUENT", "DISCORDANT")</f>
        <v/>
      </c>
    </row>
    <row r="65" ht="19" customHeight="1">
      <c r="A65" s="13" t="inlineStr">
        <is>
          <t>WINE-063</t>
        </is>
      </c>
      <c r="B65" s="14" t="inlineStr">
        <is>
          <t>Tuscany (Chianti Classico)</t>
        </is>
      </c>
      <c r="C65" s="21" t="n">
        <v>-0.108</v>
      </c>
      <c r="D65" s="21" t="n">
        <v>1.049</v>
      </c>
      <c r="E65" s="13" t="inlineStr">
        <is>
          <t>Cluster 2</t>
        </is>
      </c>
      <c r="F65" s="21" t="n">
        <v>0.08699999999999999</v>
      </c>
      <c r="G65" s="13" t="inlineStr">
        <is>
          <t>Cluster 1</t>
        </is>
      </c>
      <c r="H65" s="13" t="inlineStr">
        <is>
          <t>Cluster 1</t>
        </is>
      </c>
      <c r="I65" s="13">
        <f>IF(E65=G65, "CONGRUENT", "DISCORDANT")</f>
        <v/>
      </c>
    </row>
    <row r="66" ht="19" customHeight="1">
      <c r="A66" s="16" t="inlineStr">
        <is>
          <t>WINE-064</t>
        </is>
      </c>
      <c r="B66" s="17" t="inlineStr">
        <is>
          <t>Tuscany (Chianti Classico)</t>
        </is>
      </c>
      <c r="C66" s="22" t="n">
        <v>-1.933</v>
      </c>
      <c r="D66" s="22" t="n">
        <v>1.672</v>
      </c>
      <c r="E66" s="16" t="inlineStr">
        <is>
          <t>Cluster 2</t>
        </is>
      </c>
      <c r="F66" s="22" t="n">
        <v>0.076</v>
      </c>
      <c r="G66" s="16" t="inlineStr">
        <is>
          <t>Cluster 1</t>
        </is>
      </c>
      <c r="H66" s="16" t="inlineStr">
        <is>
          <t>Cluster 1</t>
        </is>
      </c>
      <c r="I66" s="16">
        <f>IF(E66=G66, "CONGRUENT", "DISCORDANT")</f>
        <v/>
      </c>
    </row>
    <row r="67" ht="19" customHeight="1">
      <c r="A67" s="13" t="inlineStr">
        <is>
          <t>WINE-065</t>
        </is>
      </c>
      <c r="B67" s="14" t="inlineStr">
        <is>
          <t>Tuscany (Chianti Classico)</t>
        </is>
      </c>
      <c r="C67" s="21" t="n">
        <v>0.439</v>
      </c>
      <c r="D67" s="21" t="n">
        <v>1.86</v>
      </c>
      <c r="E67" s="13" t="inlineStr">
        <is>
          <t>Cluster 2</t>
        </is>
      </c>
      <c r="F67" s="21" t="n">
        <v>0.198</v>
      </c>
      <c r="G67" s="13" t="inlineStr">
        <is>
          <t>Cluster 1</t>
        </is>
      </c>
      <c r="H67" s="13" t="inlineStr">
        <is>
          <t>Cluster 1</t>
        </is>
      </c>
      <c r="I67" s="13">
        <f>IF(E67=G67, "CONGRUENT", "DISCORDANT")</f>
        <v/>
      </c>
    </row>
    <row r="68" ht="19" customHeight="1">
      <c r="A68" s="16" t="inlineStr">
        <is>
          <t>WINE-066</t>
        </is>
      </c>
      <c r="B68" s="17" t="inlineStr">
        <is>
          <t>Tuscany (Chianti Classico)</t>
        </is>
      </c>
      <c r="C68" s="22" t="n">
        <v>-1.018</v>
      </c>
      <c r="D68" s="22" t="n">
        <v>0.774</v>
      </c>
      <c r="E68" s="16" t="inlineStr">
        <is>
          <t>Cluster 2</t>
        </is>
      </c>
      <c r="F68" s="22" t="n">
        <v>0.03</v>
      </c>
      <c r="G68" s="16" t="inlineStr">
        <is>
          <t>Cluster 1</t>
        </is>
      </c>
      <c r="H68" s="16" t="inlineStr">
        <is>
          <t>Cluster 1</t>
        </is>
      </c>
      <c r="I68" s="16">
        <f>IF(E68=G68, "CONGRUENT", "DISCORDANT")</f>
        <v/>
      </c>
    </row>
    <row r="69" ht="19" customHeight="1">
      <c r="A69" s="13" t="inlineStr">
        <is>
          <t>WINE-067</t>
        </is>
      </c>
      <c r="B69" s="14" t="inlineStr">
        <is>
          <t>Tuscany (Chianti Classico)</t>
        </is>
      </c>
      <c r="C69" s="21" t="n">
        <v>-2.499</v>
      </c>
      <c r="D69" s="21" t="n">
        <v>2.082</v>
      </c>
      <c r="E69" s="13" t="inlineStr">
        <is>
          <t>Cluster 2</t>
        </is>
      </c>
      <c r="F69" s="21" t="n">
        <v>0.037</v>
      </c>
      <c r="G69" s="13" t="inlineStr">
        <is>
          <t>Cluster 1</t>
        </is>
      </c>
      <c r="H69" s="13" t="inlineStr">
        <is>
          <t>Cluster 1</t>
        </is>
      </c>
      <c r="I69" s="13">
        <f>IF(E69=G69, "CONGRUENT", "DISCORDANT")</f>
        <v/>
      </c>
    </row>
    <row r="70" ht="19" customHeight="1">
      <c r="A70" s="16" t="inlineStr">
        <is>
          <t>WINE-068</t>
        </is>
      </c>
      <c r="B70" s="17" t="inlineStr">
        <is>
          <t>Tuscany (Chianti Classico)</t>
        </is>
      </c>
      <c r="C70" s="22" t="n">
        <v>-0.479</v>
      </c>
      <c r="D70" s="22" t="n">
        <v>2.628</v>
      </c>
      <c r="E70" s="16" t="inlineStr">
        <is>
          <t>Cluster 2</t>
        </is>
      </c>
      <c r="F70" s="22" t="n">
        <v>0.249</v>
      </c>
      <c r="G70" s="16" t="inlineStr">
        <is>
          <t>Cluster 1</t>
        </is>
      </c>
      <c r="H70" s="16" t="inlineStr">
        <is>
          <t>Cluster 1</t>
        </is>
      </c>
      <c r="I70" s="16">
        <f>IF(E70=G70, "CONGRUENT", "DISCORDANT")</f>
        <v/>
      </c>
    </row>
    <row r="71" ht="19" customHeight="1">
      <c r="A71" s="13" t="inlineStr">
        <is>
          <t>WINE-069</t>
        </is>
      </c>
      <c r="B71" s="14" t="inlineStr">
        <is>
          <t>Tuscany (Chianti Classico)</t>
        </is>
      </c>
      <c r="C71" s="21" t="n">
        <v>0.898</v>
      </c>
      <c r="D71" s="21" t="n">
        <v>0.12</v>
      </c>
      <c r="E71" s="13" t="inlineStr">
        <is>
          <t>Cluster 2</t>
        </is>
      </c>
      <c r="F71" s="21" t="n">
        <v>-0.022</v>
      </c>
      <c r="G71" s="13" t="inlineStr">
        <is>
          <t>Cluster 1</t>
        </is>
      </c>
      <c r="H71" s="13" t="inlineStr">
        <is>
          <t>Cluster 1</t>
        </is>
      </c>
      <c r="I71" s="13">
        <f>IF(E71=G71, "CONGRUENT", "DISCORDANT")</f>
        <v/>
      </c>
    </row>
    <row r="72" ht="19" customHeight="1">
      <c r="A72" s="16" t="inlineStr">
        <is>
          <t>WINE-070</t>
        </is>
      </c>
      <c r="B72" s="17" t="inlineStr">
        <is>
          <t>Tuscany (Chianti Classico)</t>
        </is>
      </c>
      <c r="C72" s="22" t="n">
        <v>-1.941</v>
      </c>
      <c r="D72" s="22" t="n">
        <v>1.006</v>
      </c>
      <c r="E72" s="16" t="inlineStr">
        <is>
          <t>Cluster 1</t>
        </is>
      </c>
      <c r="F72" s="22" t="n">
        <v>0.029</v>
      </c>
      <c r="G72" s="16" t="inlineStr">
        <is>
          <t>Cluster 1</t>
        </is>
      </c>
      <c r="H72" s="16" t="inlineStr">
        <is>
          <t>Cluster 1</t>
        </is>
      </c>
      <c r="I72" s="16">
        <f>IF(E72=G72, "CONGRUENT", "DISCORDANT")</f>
        <v/>
      </c>
    </row>
    <row r="73" ht="19" customHeight="1">
      <c r="A73" s="13" t="inlineStr">
        <is>
          <t>WINE-071</t>
        </is>
      </c>
      <c r="B73" s="14" t="inlineStr">
        <is>
          <t>Tuscany (Chianti Classico)</t>
        </is>
      </c>
      <c r="C73" s="21" t="n">
        <v>1.401</v>
      </c>
      <c r="D73" s="21" t="n">
        <v>1.229</v>
      </c>
      <c r="E73" s="13" t="inlineStr">
        <is>
          <t>Cluster 2</t>
        </is>
      </c>
      <c r="F73" s="21" t="n">
        <v>0.017</v>
      </c>
      <c r="G73" s="13" t="inlineStr">
        <is>
          <t>Cluster 2</t>
        </is>
      </c>
      <c r="H73" s="13" t="inlineStr">
        <is>
          <t>Cluster 1</t>
        </is>
      </c>
      <c r="I73" s="13">
        <f>IF(E73=G73, "CONGRUENT", "DISCORDANT")</f>
        <v/>
      </c>
    </row>
    <row r="74" ht="19" customHeight="1">
      <c r="A74" s="16" t="inlineStr">
        <is>
          <t>WINE-072</t>
        </is>
      </c>
      <c r="B74" s="17" t="inlineStr">
        <is>
          <t>Tuscany (Chianti Classico)</t>
        </is>
      </c>
      <c r="C74" s="22" t="n">
        <v>-1.814</v>
      </c>
      <c r="D74" s="22" t="n">
        <v>1.163</v>
      </c>
      <c r="E74" s="16" t="inlineStr">
        <is>
          <t>Cluster 2</t>
        </is>
      </c>
      <c r="F74" s="22" t="n">
        <v>0.022</v>
      </c>
      <c r="G74" s="16" t="inlineStr">
        <is>
          <t>Cluster 3</t>
        </is>
      </c>
      <c r="H74" s="16" t="inlineStr">
        <is>
          <t>Cluster 1</t>
        </is>
      </c>
      <c r="I74" s="16">
        <f>IF(E74=G74, "CONGRUENT", "DISCORDANT")</f>
        <v/>
      </c>
    </row>
    <row r="75" ht="19" customHeight="1">
      <c r="A75" s="13" t="inlineStr">
        <is>
          <t>WINE-073</t>
        </is>
      </c>
      <c r="B75" s="14" t="inlineStr">
        <is>
          <t>Tuscany (Chianti Classico)</t>
        </is>
      </c>
      <c r="C75" s="21" t="n">
        <v>0.554</v>
      </c>
      <c r="D75" s="21" t="n">
        <v>1.229</v>
      </c>
      <c r="E75" s="13" t="inlineStr">
        <is>
          <t>Cluster 2</t>
        </is>
      </c>
      <c r="F75" s="21" t="n">
        <v>0.171</v>
      </c>
      <c r="G75" s="13" t="inlineStr">
        <is>
          <t>Cluster 1</t>
        </is>
      </c>
      <c r="H75" s="13" t="inlineStr">
        <is>
          <t>Cluster 1</t>
        </is>
      </c>
      <c r="I75" s="13">
        <f>IF(E75=G75, "CONGRUENT", "DISCORDANT")</f>
        <v/>
      </c>
    </row>
    <row r="76" ht="19" customHeight="1">
      <c r="A76" s="16" t="inlineStr">
        <is>
          <t>WINE-074</t>
        </is>
      </c>
      <c r="B76" s="17" t="inlineStr">
        <is>
          <t>Tuscany (Chianti Classico)</t>
        </is>
      </c>
      <c r="C76" s="22" t="n">
        <v>-3.116</v>
      </c>
      <c r="D76" s="22" t="n">
        <v>0.47</v>
      </c>
      <c r="E76" s="16" t="inlineStr">
        <is>
          <t>Cluster 1</t>
        </is>
      </c>
      <c r="F76" s="22" t="n">
        <v>0.079</v>
      </c>
      <c r="G76" s="16" t="inlineStr">
        <is>
          <t>Cluster 3</t>
        </is>
      </c>
      <c r="H76" s="16" t="inlineStr">
        <is>
          <t>Cluster 3</t>
        </is>
      </c>
      <c r="I76" s="16">
        <f>IF(E76=G76, "CONGRUENT", "DISCORDANT")</f>
        <v/>
      </c>
    </row>
    <row r="77" ht="19" customHeight="1">
      <c r="A77" s="13" t="inlineStr">
        <is>
          <t>WINE-075</t>
        </is>
      </c>
      <c r="B77" s="14" t="inlineStr">
        <is>
          <t>Tuscany (Chianti Classico)</t>
        </is>
      </c>
      <c r="C77" s="21" t="n">
        <v>-2.042</v>
      </c>
      <c r="D77" s="21" t="n">
        <v>1.404</v>
      </c>
      <c r="E77" s="13" t="inlineStr">
        <is>
          <t>Cluster 2</t>
        </is>
      </c>
      <c r="F77" s="21" t="n">
        <v>0.014</v>
      </c>
      <c r="G77" s="13" t="inlineStr">
        <is>
          <t>Cluster 1</t>
        </is>
      </c>
      <c r="H77" s="13" t="inlineStr">
        <is>
          <t>Cluster 1</t>
        </is>
      </c>
      <c r="I77" s="13">
        <f>IF(E77=G77, "CONGRUENT", "DISCORDANT")</f>
        <v/>
      </c>
    </row>
    <row r="78" ht="19" customHeight="1">
      <c r="A78" s="16" t="inlineStr">
        <is>
          <t>WINE-076</t>
        </is>
      </c>
      <c r="B78" s="17" t="inlineStr">
        <is>
          <t>Tuscany (Chianti Classico)</t>
        </is>
      </c>
      <c r="C78" s="22" t="n">
        <v>0.5639999999999999</v>
      </c>
      <c r="D78" s="22" t="n">
        <v>2.58</v>
      </c>
      <c r="E78" s="16" t="inlineStr">
        <is>
          <t>Cluster 2</t>
        </is>
      </c>
      <c r="F78" s="22" t="n">
        <v>0.227</v>
      </c>
      <c r="G78" s="16" t="inlineStr">
        <is>
          <t>Cluster 1</t>
        </is>
      </c>
      <c r="H78" s="16" t="inlineStr">
        <is>
          <t>Cluster 1</t>
        </is>
      </c>
      <c r="I78" s="16">
        <f>IF(E78=G78, "CONGRUENT", "DISCORDANT")</f>
        <v/>
      </c>
    </row>
    <row r="79" ht="19" customHeight="1">
      <c r="A79" s="13" t="inlineStr">
        <is>
          <t>WINE-077</t>
        </is>
      </c>
      <c r="B79" s="14" t="inlineStr">
        <is>
          <t>Tuscany (Chianti Classico)</t>
        </is>
      </c>
      <c r="C79" s="21" t="n">
        <v>-0.727</v>
      </c>
      <c r="D79" s="21" t="n">
        <v>2.39</v>
      </c>
      <c r="E79" s="13" t="inlineStr">
        <is>
          <t>Cluster 2</t>
        </is>
      </c>
      <c r="F79" s="21" t="n">
        <v>0.169</v>
      </c>
      <c r="G79" s="13" t="inlineStr">
        <is>
          <t>Cluster 1</t>
        </is>
      </c>
      <c r="H79" s="13" t="inlineStr">
        <is>
          <t>Cluster 1</t>
        </is>
      </c>
      <c r="I79" s="13">
        <f>IF(E79=G79, "CONGRUENT", "DISCORDANT")</f>
        <v/>
      </c>
    </row>
    <row r="80" ht="19" customHeight="1">
      <c r="A80" s="16" t="inlineStr">
        <is>
          <t>WINE-078</t>
        </is>
      </c>
      <c r="B80" s="17" t="inlineStr">
        <is>
          <t>Tuscany (Chianti Classico)</t>
        </is>
      </c>
      <c r="C80" s="22" t="n">
        <v>1.388</v>
      </c>
      <c r="D80" s="22" t="n">
        <v>1.489</v>
      </c>
      <c r="E80" s="16" t="inlineStr">
        <is>
          <t>Cluster 2</t>
        </is>
      </c>
      <c r="F80" s="22" t="n">
        <v>0.08799999999999999</v>
      </c>
      <c r="G80" s="16" t="inlineStr">
        <is>
          <t>Cluster 2</t>
        </is>
      </c>
      <c r="H80" s="16" t="inlineStr">
        <is>
          <t>Cluster 1</t>
        </is>
      </c>
      <c r="I80" s="16">
        <f>IF(E80=G80, "CONGRUENT", "DISCORDANT")</f>
        <v/>
      </c>
    </row>
    <row r="81" ht="19" customHeight="1">
      <c r="A81" s="13" t="inlineStr">
        <is>
          <t>WINE-079</t>
        </is>
      </c>
      <c r="B81" s="14" t="inlineStr">
        <is>
          <t>Tuscany (Chianti Classico)</t>
        </is>
      </c>
      <c r="C81" s="21" t="n">
        <v>-1.351</v>
      </c>
      <c r="D81" s="21" t="n">
        <v>0.641</v>
      </c>
      <c r="E81" s="13" t="inlineStr">
        <is>
          <t>Cluster 1</t>
        </is>
      </c>
      <c r="F81" s="21" t="n">
        <v>0.026</v>
      </c>
      <c r="G81" s="13" t="inlineStr">
        <is>
          <t>Cluster 1</t>
        </is>
      </c>
      <c r="H81" s="13" t="inlineStr">
        <is>
          <t>Cluster 1</t>
        </is>
      </c>
      <c r="I81" s="13">
        <f>IF(E81=G81, "CONGRUENT", "DISCORDANT")</f>
        <v/>
      </c>
    </row>
    <row r="82" ht="19" customHeight="1">
      <c r="A82" s="16" t="inlineStr">
        <is>
          <t>WINE-080</t>
        </is>
      </c>
      <c r="B82" s="17" t="inlineStr">
        <is>
          <t>Tuscany (Chianti Classico)</t>
        </is>
      </c>
      <c r="C82" s="22" t="n">
        <v>-0.304</v>
      </c>
      <c r="D82" s="22" t="n">
        <v>1.042</v>
      </c>
      <c r="E82" s="16" t="inlineStr">
        <is>
          <t>Cluster 2</t>
        </is>
      </c>
      <c r="F82" s="22" t="n">
        <v>0.129</v>
      </c>
      <c r="G82" s="16" t="inlineStr">
        <is>
          <t>Cluster 1</t>
        </is>
      </c>
      <c r="H82" s="16" t="inlineStr">
        <is>
          <t>Cluster 1</t>
        </is>
      </c>
      <c r="I82" s="16">
        <f>IF(E82=G82, "CONGRUENT", "DISCORDANT")</f>
        <v/>
      </c>
    </row>
    <row r="83" ht="19" customHeight="1">
      <c r="A83" s="13" t="inlineStr">
        <is>
          <t>WINE-081</t>
        </is>
      </c>
      <c r="B83" s="14" t="inlineStr">
        <is>
          <t>Tuscany (Chianti Classico)</t>
        </is>
      </c>
      <c r="C83" s="21" t="n">
        <v>-0.911</v>
      </c>
      <c r="D83" s="21" t="n">
        <v>3.343</v>
      </c>
      <c r="E83" s="13" t="inlineStr">
        <is>
          <t>Cluster 2</t>
        </is>
      </c>
      <c r="F83" s="21" t="n">
        <v>0.26</v>
      </c>
      <c r="G83" s="13" t="inlineStr">
        <is>
          <t>Cluster 1</t>
        </is>
      </c>
      <c r="H83" s="13" t="inlineStr">
        <is>
          <t>Cluster 1</t>
        </is>
      </c>
      <c r="I83" s="13">
        <f>IF(E83=G83, "CONGRUENT", "DISCORDANT")</f>
        <v/>
      </c>
    </row>
    <row r="84" ht="19" customHeight="1">
      <c r="A84" s="16" t="inlineStr">
        <is>
          <t>WINE-082</t>
        </is>
      </c>
      <c r="B84" s="17" t="inlineStr">
        <is>
          <t>Tuscany (Chianti Classico)</t>
        </is>
      </c>
      <c r="C84" s="22" t="n">
        <v>-0.99</v>
      </c>
      <c r="D84" s="22" t="n">
        <v>1.406</v>
      </c>
      <c r="E84" s="16" t="inlineStr">
        <is>
          <t>Cluster 2</t>
        </is>
      </c>
      <c r="F84" s="22" t="n">
        <v>0.113</v>
      </c>
      <c r="G84" s="16" t="inlineStr">
        <is>
          <t>Cluster 1</t>
        </is>
      </c>
      <c r="H84" s="16" t="inlineStr">
        <is>
          <t>Cluster 1</t>
        </is>
      </c>
      <c r="I84" s="16">
        <f>IF(E84=G84, "CONGRUENT", "DISCORDANT")</f>
        <v/>
      </c>
    </row>
    <row r="85" ht="19" customHeight="1">
      <c r="A85" s="13" t="inlineStr">
        <is>
          <t>WINE-083</t>
        </is>
      </c>
      <c r="B85" s="14" t="inlineStr">
        <is>
          <t>Tuscany (Chianti Classico)</t>
        </is>
      </c>
      <c r="C85" s="21" t="n">
        <v>0.403</v>
      </c>
      <c r="D85" s="21" t="n">
        <v>2.529</v>
      </c>
      <c r="E85" s="13" t="inlineStr">
        <is>
          <t>Cluster 2</t>
        </is>
      </c>
      <c r="F85" s="21" t="n">
        <v>0.303</v>
      </c>
      <c r="G85" s="13" t="inlineStr">
        <is>
          <t>Cluster 1</t>
        </is>
      </c>
      <c r="H85" s="13" t="inlineStr">
        <is>
          <t>Cluster 1</t>
        </is>
      </c>
      <c r="I85" s="13">
        <f>IF(E85=G85, "CONGRUENT", "DISCORDANT")</f>
        <v/>
      </c>
    </row>
    <row r="86" ht="19" customHeight="1">
      <c r="A86" s="16" t="inlineStr">
        <is>
          <t>WINE-084</t>
        </is>
      </c>
      <c r="B86" s="17" t="inlineStr">
        <is>
          <t>Tuscany (Chianti Classico)</t>
        </is>
      </c>
      <c r="C86" s="22" t="n">
        <v>2.688</v>
      </c>
      <c r="D86" s="22" t="n">
        <v>-0.225</v>
      </c>
      <c r="E86" s="16" t="inlineStr">
        <is>
          <t>Cluster 3</t>
        </is>
      </c>
      <c r="F86" s="22" t="n">
        <v>0.175</v>
      </c>
      <c r="G86" s="16" t="inlineStr">
        <is>
          <t>Cluster 2</t>
        </is>
      </c>
      <c r="H86" s="16" t="inlineStr">
        <is>
          <t>Cluster 1</t>
        </is>
      </c>
      <c r="I86" s="16">
        <f>IF(E86=G86, "CONGRUENT", "DISCORDANT")</f>
        <v/>
      </c>
    </row>
    <row r="87" ht="19" customHeight="1">
      <c r="A87" s="13" t="inlineStr">
        <is>
          <t>WINE-085</t>
        </is>
      </c>
      <c r="B87" s="14" t="inlineStr">
        <is>
          <t>Tuscany (Chianti Classico)</t>
        </is>
      </c>
      <c r="C87" s="21" t="n">
        <v>-1.305</v>
      </c>
      <c r="D87" s="21" t="n">
        <v>1.867</v>
      </c>
      <c r="E87" s="13" t="inlineStr">
        <is>
          <t>Cluster 2</t>
        </is>
      </c>
      <c r="F87" s="21" t="n">
        <v>0.109</v>
      </c>
      <c r="G87" s="13" t="inlineStr">
        <is>
          <t>Cluster 1</t>
        </is>
      </c>
      <c r="H87" s="13" t="inlineStr">
        <is>
          <t>Cluster 1</t>
        </is>
      </c>
      <c r="I87" s="13">
        <f>IF(E87=G87, "CONGRUENT", "DISCORDANT")</f>
        <v/>
      </c>
    </row>
    <row r="88" ht="19" customHeight="1">
      <c r="A88" s="16" t="inlineStr">
        <is>
          <t>WINE-086</t>
        </is>
      </c>
      <c r="B88" s="17" t="inlineStr">
        <is>
          <t>Tuscany (Chianti Classico)</t>
        </is>
      </c>
      <c r="C88" s="22" t="n">
        <v>-0.662</v>
      </c>
      <c r="D88" s="22" t="n">
        <v>1.879</v>
      </c>
      <c r="E88" s="16" t="inlineStr">
        <is>
          <t>Cluster 2</t>
        </is>
      </c>
      <c r="F88" s="22" t="n">
        <v>0.198</v>
      </c>
      <c r="G88" s="16" t="inlineStr">
        <is>
          <t>Cluster 1</t>
        </is>
      </c>
      <c r="H88" s="16" t="inlineStr">
        <is>
          <t>Cluster 1</t>
        </is>
      </c>
      <c r="I88" s="16">
        <f>IF(E88=G88, "CONGRUENT", "DISCORDANT")</f>
        <v/>
      </c>
    </row>
    <row r="89" ht="19" customHeight="1">
      <c r="A89" s="13" t="inlineStr">
        <is>
          <t>WINE-087</t>
        </is>
      </c>
      <c r="B89" s="14" t="inlineStr">
        <is>
          <t>Tuscany (Chianti Classico)</t>
        </is>
      </c>
      <c r="C89" s="21" t="n">
        <v>0.596</v>
      </c>
      <c r="D89" s="21" t="n">
        <v>2.402</v>
      </c>
      <c r="E89" s="13" t="inlineStr">
        <is>
          <t>Cluster 2</t>
        </is>
      </c>
      <c r="F89" s="21" t="n">
        <v>0.293</v>
      </c>
      <c r="G89" s="13" t="inlineStr">
        <is>
          <t>Cluster 1</t>
        </is>
      </c>
      <c r="H89" s="13" t="inlineStr">
        <is>
          <t>Cluster 1</t>
        </is>
      </c>
      <c r="I89" s="13">
        <f>IF(E89=G89, "CONGRUENT", "DISCORDANT")</f>
        <v/>
      </c>
    </row>
    <row r="90" ht="19" customHeight="1">
      <c r="A90" s="16" t="inlineStr">
        <is>
          <t>WINE-088</t>
        </is>
      </c>
      <c r="B90" s="17" t="inlineStr">
        <is>
          <t>Tuscany (Chianti Classico)</t>
        </is>
      </c>
      <c r="C90" s="22" t="n">
        <v>0.711</v>
      </c>
      <c r="D90" s="22" t="n">
        <v>2.273</v>
      </c>
      <c r="E90" s="16" t="inlineStr">
        <is>
          <t>Cluster 2</t>
        </is>
      </c>
      <c r="F90" s="22" t="n">
        <v>0.236</v>
      </c>
      <c r="G90" s="16" t="inlineStr">
        <is>
          <t>Cluster 1</t>
        </is>
      </c>
      <c r="H90" s="16" t="inlineStr">
        <is>
          <t>Cluster 1</t>
        </is>
      </c>
      <c r="I90" s="16">
        <f>IF(E90=G90, "CONGRUENT", "DISCORDANT")</f>
        <v/>
      </c>
    </row>
    <row r="91" ht="19" customHeight="1">
      <c r="A91" s="13" t="inlineStr">
        <is>
          <t>WINE-089</t>
        </is>
      </c>
      <c r="B91" s="14" t="inlineStr">
        <is>
          <t>Tuscany (Chianti Classico)</t>
        </is>
      </c>
      <c r="C91" s="21" t="n">
        <v>1.113</v>
      </c>
      <c r="D91" s="21" t="n">
        <v>1.831</v>
      </c>
      <c r="E91" s="13" t="inlineStr">
        <is>
          <t>Cluster 2</t>
        </is>
      </c>
      <c r="F91" s="21" t="n">
        <v>0.231</v>
      </c>
      <c r="G91" s="13" t="inlineStr">
        <is>
          <t>Cluster 1</t>
        </is>
      </c>
      <c r="H91" s="13" t="inlineStr">
        <is>
          <t>Cluster 1</t>
        </is>
      </c>
      <c r="I91" s="13">
        <f>IF(E91=G91, "CONGRUENT", "DISCORDANT")</f>
        <v/>
      </c>
    </row>
    <row r="92" ht="19" customHeight="1">
      <c r="A92" s="16" t="inlineStr">
        <is>
          <t>WINE-090</t>
        </is>
      </c>
      <c r="B92" s="17" t="inlineStr">
        <is>
          <t>Tuscany (Chianti Classico)</t>
        </is>
      </c>
      <c r="C92" s="22" t="n">
        <v>0.269</v>
      </c>
      <c r="D92" s="22" t="n">
        <v>2.938</v>
      </c>
      <c r="E92" s="16" t="inlineStr">
        <is>
          <t>Cluster 2</t>
        </is>
      </c>
      <c r="F92" s="22" t="n">
        <v>0.317</v>
      </c>
      <c r="G92" s="16" t="inlineStr">
        <is>
          <t>Cluster 1</t>
        </is>
      </c>
      <c r="H92" s="16" t="inlineStr">
        <is>
          <t>Cluster 1</t>
        </is>
      </c>
      <c r="I92" s="16">
        <f>IF(E92=G92, "CONGRUENT", "DISCORDANT")</f>
        <v/>
      </c>
    </row>
    <row r="93" ht="19" customHeight="1">
      <c r="A93" s="13" t="inlineStr">
        <is>
          <t>WINE-091</t>
        </is>
      </c>
      <c r="B93" s="14" t="inlineStr">
        <is>
          <t>Tuscany (Chianti Classico)</t>
        </is>
      </c>
      <c r="C93" s="21" t="n">
        <v>1.218</v>
      </c>
      <c r="D93" s="21" t="n">
        <v>2.251</v>
      </c>
      <c r="E93" s="13" t="inlineStr">
        <is>
          <t>Cluster 2</t>
        </is>
      </c>
      <c r="F93" s="21" t="n">
        <v>0.229</v>
      </c>
      <c r="G93" s="13" t="inlineStr">
        <is>
          <t>Cluster 1</t>
        </is>
      </c>
      <c r="H93" s="13" t="inlineStr">
        <is>
          <t>Cluster 1</t>
        </is>
      </c>
      <c r="I93" s="13">
        <f>IF(E93=G93, "CONGRUENT", "DISCORDANT")</f>
        <v/>
      </c>
    </row>
    <row r="94" ht="19" customHeight="1">
      <c r="A94" s="16" t="inlineStr">
        <is>
          <t>WINE-092</t>
        </is>
      </c>
      <c r="B94" s="17" t="inlineStr">
        <is>
          <t>Tuscany (Chianti Classico)</t>
        </is>
      </c>
      <c r="C94" s="22" t="n">
        <v>1.568</v>
      </c>
      <c r="D94" s="22" t="n">
        <v>1.959</v>
      </c>
      <c r="E94" s="16" t="inlineStr">
        <is>
          <t>Cluster 2</t>
        </is>
      </c>
      <c r="F94" s="22" t="n">
        <v>0.175</v>
      </c>
      <c r="G94" s="16" t="inlineStr">
        <is>
          <t>Cluster 1</t>
        </is>
      </c>
      <c r="H94" s="16" t="inlineStr">
        <is>
          <t>Cluster 1</t>
        </is>
      </c>
      <c r="I94" s="16">
        <f>IF(E94=G94, "CONGRUENT", "DISCORDANT")</f>
        <v/>
      </c>
    </row>
    <row r="95" ht="19" customHeight="1">
      <c r="A95" s="13" t="inlineStr">
        <is>
          <t>WINE-093</t>
        </is>
      </c>
      <c r="B95" s="14" t="inlineStr">
        <is>
          <t>Tuscany (Chianti Classico)</t>
        </is>
      </c>
      <c r="C95" s="21" t="n">
        <v>1.964</v>
      </c>
      <c r="D95" s="21" t="n">
        <v>1.411</v>
      </c>
      <c r="E95" s="13" t="inlineStr">
        <is>
          <t>Cluster 2</t>
        </is>
      </c>
      <c r="F95" s="21" t="n">
        <v>0.036</v>
      </c>
      <c r="G95" s="13" t="inlineStr">
        <is>
          <t>Cluster 1</t>
        </is>
      </c>
      <c r="H95" s="13" t="inlineStr">
        <is>
          <t>Cluster 1</t>
        </is>
      </c>
      <c r="I95" s="13">
        <f>IF(E95=G95, "CONGRUENT", "DISCORDANT")</f>
        <v/>
      </c>
    </row>
    <row r="96" ht="19" customHeight="1">
      <c r="A96" s="16" t="inlineStr">
        <is>
          <t>WINE-094</t>
        </is>
      </c>
      <c r="B96" s="17" t="inlineStr">
        <is>
          <t>Tuscany (Chianti Classico)</t>
        </is>
      </c>
      <c r="C96" s="22" t="n">
        <v>-0.865</v>
      </c>
      <c r="D96" s="22" t="n">
        <v>2.179</v>
      </c>
      <c r="E96" s="16" t="inlineStr">
        <is>
          <t>Cluster 2</t>
        </is>
      </c>
      <c r="F96" s="22" t="n">
        <v>0.206</v>
      </c>
      <c r="G96" s="16" t="inlineStr">
        <is>
          <t>Cluster 1</t>
        </is>
      </c>
      <c r="H96" s="16" t="inlineStr">
        <is>
          <t>Cluster 1</t>
        </is>
      </c>
      <c r="I96" s="16">
        <f>IF(E96=G96, "CONGRUENT", "DISCORDANT")</f>
        <v/>
      </c>
    </row>
    <row r="97" ht="19" customHeight="1">
      <c r="A97" s="13" t="inlineStr">
        <is>
          <t>WINE-095</t>
        </is>
      </c>
      <c r="B97" s="14" t="inlineStr">
        <is>
          <t>Tuscany (Chianti Classico)</t>
        </is>
      </c>
      <c r="C97" s="21" t="n">
        <v>-0.95</v>
      </c>
      <c r="D97" s="21" t="n">
        <v>2.029</v>
      </c>
      <c r="E97" s="13" t="inlineStr">
        <is>
          <t>Cluster 2</t>
        </is>
      </c>
      <c r="F97" s="21" t="n">
        <v>0.183</v>
      </c>
      <c r="G97" s="13" t="inlineStr">
        <is>
          <t>Cluster 1</t>
        </is>
      </c>
      <c r="H97" s="13" t="inlineStr">
        <is>
          <t>Cluster 1</t>
        </is>
      </c>
      <c r="I97" s="13">
        <f>IF(E97=G97, "CONGRUENT", "DISCORDANT")</f>
        <v/>
      </c>
    </row>
    <row r="98" ht="19" customHeight="1">
      <c r="A98" s="16" t="inlineStr">
        <is>
          <t>WINE-096</t>
        </is>
      </c>
      <c r="B98" s="17" t="inlineStr">
        <is>
          <t>Tuscany (Chianti Classico)</t>
        </is>
      </c>
      <c r="C98" s="22" t="n">
        <v>-2.591</v>
      </c>
      <c r="D98" s="22" t="n">
        <v>-0.111</v>
      </c>
      <c r="E98" s="16" t="inlineStr">
        <is>
          <t>Cluster 1</t>
        </is>
      </c>
      <c r="F98" s="22" t="n">
        <v>0.119</v>
      </c>
      <c r="G98" s="16" t="inlineStr">
        <is>
          <t>Cluster 1</t>
        </is>
      </c>
      <c r="H98" s="16" t="inlineStr">
        <is>
          <t>Cluster 1</t>
        </is>
      </c>
      <c r="I98" s="16">
        <f>IF(E98=G98, "CONGRUENT", "DISCORDANT")</f>
        <v/>
      </c>
    </row>
    <row r="99" ht="19" customHeight="1">
      <c r="A99" s="13" t="inlineStr">
        <is>
          <t>WINE-097</t>
        </is>
      </c>
      <c r="B99" s="14" t="inlineStr">
        <is>
          <t>Tuscany (Chianti Classico)</t>
        </is>
      </c>
      <c r="C99" s="21" t="n">
        <v>0.483</v>
      </c>
      <c r="D99" s="21" t="n">
        <v>0.575</v>
      </c>
      <c r="E99" s="13" t="inlineStr">
        <is>
          <t>Cluster 2</t>
        </is>
      </c>
      <c r="F99" s="21" t="n">
        <v>0.05</v>
      </c>
      <c r="G99" s="13" t="inlineStr">
        <is>
          <t>Cluster 2</t>
        </is>
      </c>
      <c r="H99" s="13" t="inlineStr">
        <is>
          <t>Cluster 1</t>
        </is>
      </c>
      <c r="I99" s="13">
        <f>IF(E99=G99, "CONGRUENT", "DISCORDANT")</f>
        <v/>
      </c>
    </row>
    <row r="100" ht="19" customHeight="1">
      <c r="A100" s="16" t="inlineStr">
        <is>
          <t>WINE-098</t>
        </is>
      </c>
      <c r="B100" s="17" t="inlineStr">
        <is>
          <t>Tuscany (Chianti Classico)</t>
        </is>
      </c>
      <c r="C100" s="22" t="n">
        <v>-1.064</v>
      </c>
      <c r="D100" s="22" t="n">
        <v>2.501</v>
      </c>
      <c r="E100" s="16" t="inlineStr">
        <is>
          <t>Cluster 2</t>
        </is>
      </c>
      <c r="F100" s="22" t="n">
        <v>0.236</v>
      </c>
      <c r="G100" s="16" t="inlineStr">
        <is>
          <t>Cluster 1</t>
        </is>
      </c>
      <c r="H100" s="16" t="inlineStr">
        <is>
          <t>Cluster 1</t>
        </is>
      </c>
      <c r="I100" s="16">
        <f>IF(E100=G100, "CONGRUENT", "DISCORDANT")</f>
        <v/>
      </c>
    </row>
    <row r="101" ht="19" customHeight="1">
      <c r="A101" s="13" t="inlineStr">
        <is>
          <t>WINE-099</t>
        </is>
      </c>
      <c r="B101" s="14" t="inlineStr">
        <is>
          <t>Tuscany (Chianti Classico)</t>
        </is>
      </c>
      <c r="C101" s="21" t="n">
        <v>-2.661</v>
      </c>
      <c r="D101" s="21" t="n">
        <v>1.813</v>
      </c>
      <c r="E101" s="13" t="inlineStr">
        <is>
          <t>Cluster 2</t>
        </is>
      </c>
      <c r="F101" s="21" t="n">
        <v>0.011</v>
      </c>
      <c r="G101" s="13" t="inlineStr">
        <is>
          <t>Cluster 1</t>
        </is>
      </c>
      <c r="H101" s="13" t="inlineStr">
        <is>
          <t>Cluster 1</t>
        </is>
      </c>
      <c r="I101" s="13">
        <f>IF(E101=G101, "CONGRUENT", "DISCORDANT")</f>
        <v/>
      </c>
    </row>
    <row r="102" ht="19" customHeight="1">
      <c r="A102" s="16" t="inlineStr">
        <is>
          <t>WINE-100</t>
        </is>
      </c>
      <c r="B102" s="17" t="inlineStr">
        <is>
          <t>Tuscany (Chianti Classico)</t>
        </is>
      </c>
      <c r="C102" s="22" t="n">
        <v>-1.439</v>
      </c>
      <c r="D102" s="22" t="n">
        <v>2.122</v>
      </c>
      <c r="E102" s="16" t="inlineStr">
        <is>
          <t>Cluster 2</t>
        </is>
      </c>
      <c r="F102" s="22" t="n">
        <v>0.142</v>
      </c>
      <c r="G102" s="16" t="inlineStr">
        <is>
          <t>Cluster 1</t>
        </is>
      </c>
      <c r="H102" s="16" t="inlineStr">
        <is>
          <t>Cluster 1</t>
        </is>
      </c>
      <c r="I102" s="16">
        <f>IF(E102=G102, "CONGRUENT", "DISCORDANT")</f>
        <v/>
      </c>
    </row>
    <row r="103" ht="19" customHeight="1">
      <c r="A103" s="13" t="inlineStr">
        <is>
          <t>WINE-101</t>
        </is>
      </c>
      <c r="B103" s="14" t="inlineStr">
        <is>
          <t>Tuscany (Chianti Classico)</t>
        </is>
      </c>
      <c r="C103" s="21" t="n">
        <v>-0.604</v>
      </c>
      <c r="D103" s="21" t="n">
        <v>2.095</v>
      </c>
      <c r="E103" s="13" t="inlineStr">
        <is>
          <t>Cluster 2</t>
        </is>
      </c>
      <c r="F103" s="21" t="n">
        <v>0.17</v>
      </c>
      <c r="G103" s="13" t="inlineStr">
        <is>
          <t>Cluster 1</t>
        </is>
      </c>
      <c r="H103" s="13" t="inlineStr">
        <is>
          <t>Cluster 1</t>
        </is>
      </c>
      <c r="I103" s="13">
        <f>IF(E103=G103, "CONGRUENT", "DISCORDANT")</f>
        <v/>
      </c>
    </row>
    <row r="104" ht="19" customHeight="1">
      <c r="A104" s="16" t="inlineStr">
        <is>
          <t>WINE-102</t>
        </is>
      </c>
      <c r="B104" s="17" t="inlineStr">
        <is>
          <t>Tuscany (Chianti Classico)</t>
        </is>
      </c>
      <c r="C104" s="22" t="n">
        <v>0.419</v>
      </c>
      <c r="D104" s="22" t="n">
        <v>2.104</v>
      </c>
      <c r="E104" s="16" t="inlineStr">
        <is>
          <t>Cluster 2</t>
        </is>
      </c>
      <c r="F104" s="22" t="n">
        <v>0.209</v>
      </c>
      <c r="G104" s="16" t="inlineStr">
        <is>
          <t>Cluster 1</t>
        </is>
      </c>
      <c r="H104" s="16" t="inlineStr">
        <is>
          <t>Cluster 1</t>
        </is>
      </c>
      <c r="I104" s="16">
        <f>IF(E104=G104, "CONGRUENT", "DISCORDANT")</f>
        <v/>
      </c>
    </row>
    <row r="105" ht="19" customHeight="1">
      <c r="A105" s="13" t="inlineStr">
        <is>
          <t>WINE-103</t>
        </is>
      </c>
      <c r="B105" s="14" t="inlineStr">
        <is>
          <t>Tuscany (Chianti Classico)</t>
        </is>
      </c>
      <c r="C105" s="21" t="n">
        <v>0.284</v>
      </c>
      <c r="D105" s="21" t="n">
        <v>0.947</v>
      </c>
      <c r="E105" s="13" t="inlineStr">
        <is>
          <t>Cluster 2</t>
        </is>
      </c>
      <c r="F105" s="21" t="n">
        <v>0.193</v>
      </c>
      <c r="G105" s="13" t="inlineStr">
        <is>
          <t>Cluster 1</t>
        </is>
      </c>
      <c r="H105" s="13" t="inlineStr">
        <is>
          <t>Cluster 1</t>
        </is>
      </c>
      <c r="I105" s="13">
        <f>IF(E105=G105, "CONGRUENT", "DISCORDANT")</f>
        <v/>
      </c>
    </row>
    <row r="106" ht="19" customHeight="1">
      <c r="A106" s="16" t="inlineStr">
        <is>
          <t>WINE-104</t>
        </is>
      </c>
      <c r="B106" s="17" t="inlineStr">
        <is>
          <t>Tuscany (Chianti Classico)</t>
        </is>
      </c>
      <c r="C106" s="22" t="n">
        <v>0.399</v>
      </c>
      <c r="D106" s="22" t="n">
        <v>2.809</v>
      </c>
      <c r="E106" s="16" t="inlineStr">
        <is>
          <t>Cluster 2</t>
        </is>
      </c>
      <c r="F106" s="22" t="n">
        <v>0.311</v>
      </c>
      <c r="G106" s="16" t="inlineStr">
        <is>
          <t>Cluster 1</t>
        </is>
      </c>
      <c r="H106" s="16" t="inlineStr">
        <is>
          <t>Cluster 1</t>
        </is>
      </c>
      <c r="I106" s="16">
        <f>IF(E106=G106, "CONGRUENT", "DISCORDANT")</f>
        <v/>
      </c>
    </row>
    <row r="107" ht="19" customHeight="1">
      <c r="A107" s="13" t="inlineStr">
        <is>
          <t>WINE-105</t>
        </is>
      </c>
      <c r="B107" s="14" t="inlineStr">
        <is>
          <t>Tuscany (Chianti Classico)</t>
        </is>
      </c>
      <c r="C107" s="21" t="n">
        <v>-0.355</v>
      </c>
      <c r="D107" s="21" t="n">
        <v>2.046</v>
      </c>
      <c r="E107" s="13" t="inlineStr">
        <is>
          <t>Cluster 2</t>
        </is>
      </c>
      <c r="F107" s="21" t="n">
        <v>0.251</v>
      </c>
      <c r="G107" s="13" t="inlineStr">
        <is>
          <t>Cluster 1</t>
        </is>
      </c>
      <c r="H107" s="13" t="inlineStr">
        <is>
          <t>Cluster 1</t>
        </is>
      </c>
      <c r="I107" s="13">
        <f>IF(E107=G107, "CONGRUENT", "DISCORDANT")</f>
        <v/>
      </c>
    </row>
    <row r="108" ht="19" customHeight="1">
      <c r="A108" s="16" t="inlineStr">
        <is>
          <t>WINE-106</t>
        </is>
      </c>
      <c r="B108" s="17" t="inlineStr">
        <is>
          <t>Tuscany (Chianti Classico)</t>
        </is>
      </c>
      <c r="C108" s="22" t="n">
        <v>1.676</v>
      </c>
      <c r="D108" s="22" t="n">
        <v>1.818</v>
      </c>
      <c r="E108" s="16" t="inlineStr">
        <is>
          <t>Cluster 2</t>
        </is>
      </c>
      <c r="F108" s="22" t="n">
        <v>0.126</v>
      </c>
      <c r="G108" s="16" t="inlineStr">
        <is>
          <t>Cluster 1</t>
        </is>
      </c>
      <c r="H108" s="16" t="inlineStr">
        <is>
          <t>Cluster 1</t>
        </is>
      </c>
      <c r="I108" s="16">
        <f>IF(E108=G108, "CONGRUENT", "DISCORDANT")</f>
        <v/>
      </c>
    </row>
    <row r="109" ht="19" customHeight="1">
      <c r="A109" s="13" t="inlineStr">
        <is>
          <t>WINE-107</t>
        </is>
      </c>
      <c r="B109" s="14" t="inlineStr">
        <is>
          <t>Tuscany (Chianti Classico)</t>
        </is>
      </c>
      <c r="C109" s="21" t="n">
        <v>0.248</v>
      </c>
      <c r="D109" s="21" t="n">
        <v>2.279</v>
      </c>
      <c r="E109" s="13" t="inlineStr">
        <is>
          <t>Cluster 2</t>
        </is>
      </c>
      <c r="F109" s="21" t="n">
        <v>0.303</v>
      </c>
      <c r="G109" s="13" t="inlineStr">
        <is>
          <t>Cluster 1</t>
        </is>
      </c>
      <c r="H109" s="13" t="inlineStr">
        <is>
          <t>Cluster 1</t>
        </is>
      </c>
      <c r="I109" s="13">
        <f>IF(E109=G109, "CONGRUENT", "DISCORDANT")</f>
        <v/>
      </c>
    </row>
    <row r="110" ht="19" customHeight="1">
      <c r="A110" s="16" t="inlineStr">
        <is>
          <t>WINE-108</t>
        </is>
      </c>
      <c r="B110" s="17" t="inlineStr">
        <is>
          <t>Tuscany (Chianti Classico)</t>
        </is>
      </c>
      <c r="C110" s="22" t="n">
        <v>1.447</v>
      </c>
      <c r="D110" s="22" t="n">
        <v>1.482</v>
      </c>
      <c r="E110" s="16" t="inlineStr">
        <is>
          <t>Cluster 2</t>
        </is>
      </c>
      <c r="F110" s="22" t="n">
        <v>0.106</v>
      </c>
      <c r="G110" s="16" t="inlineStr">
        <is>
          <t>Cluster 1</t>
        </is>
      </c>
      <c r="H110" s="16" t="inlineStr">
        <is>
          <t>Cluster 1</t>
        </is>
      </c>
      <c r="I110" s="16">
        <f>IF(E110=G110, "CONGRUENT", "DISCORDANT")</f>
        <v/>
      </c>
    </row>
    <row r="111" ht="19" customHeight="1">
      <c r="A111" s="13" t="inlineStr">
        <is>
          <t>WINE-109</t>
        </is>
      </c>
      <c r="B111" s="14" t="inlineStr">
        <is>
          <t>Tuscany (Chianti Classico)</t>
        </is>
      </c>
      <c r="C111" s="21" t="n">
        <v>-0.04</v>
      </c>
      <c r="D111" s="21" t="n">
        <v>2.275</v>
      </c>
      <c r="E111" s="13" t="inlineStr">
        <is>
          <t>Cluster 2</t>
        </is>
      </c>
      <c r="F111" s="21" t="n">
        <v>0.283</v>
      </c>
      <c r="G111" s="13" t="inlineStr">
        <is>
          <t>Cluster 1</t>
        </is>
      </c>
      <c r="H111" s="13" t="inlineStr">
        <is>
          <t>Cluster 1</t>
        </is>
      </c>
      <c r="I111" s="13">
        <f>IF(E111=G111, "CONGRUENT", "DISCORDANT")</f>
        <v/>
      </c>
    </row>
    <row r="112" ht="19" customHeight="1">
      <c r="A112" s="16" t="inlineStr">
        <is>
          <t>WINE-110</t>
        </is>
      </c>
      <c r="B112" s="17" t="inlineStr">
        <is>
          <t>Tuscany (Chianti Classico)</t>
        </is>
      </c>
      <c r="C112" s="22" t="n">
        <v>-1.56</v>
      </c>
      <c r="D112" s="22" t="n">
        <v>1.374</v>
      </c>
      <c r="E112" s="16" t="inlineStr">
        <is>
          <t>Cluster 2</t>
        </is>
      </c>
      <c r="F112" s="22" t="n">
        <v>0.075</v>
      </c>
      <c r="G112" s="16" t="inlineStr">
        <is>
          <t>Cluster 1</t>
        </is>
      </c>
      <c r="H112" s="16" t="inlineStr">
        <is>
          <t>Cluster 1</t>
        </is>
      </c>
      <c r="I112" s="16">
        <f>IF(E112=G112, "CONGRUENT", "DISCORDANT")</f>
        <v/>
      </c>
    </row>
    <row r="113" ht="19" customHeight="1">
      <c r="A113" s="13" t="inlineStr">
        <is>
          <t>WINE-111</t>
        </is>
      </c>
      <c r="B113" s="14" t="inlineStr">
        <is>
          <t>Tuscany (Chianti Classico)</t>
        </is>
      </c>
      <c r="C113" s="21" t="n">
        <v>-1.183</v>
      </c>
      <c r="D113" s="21" t="n">
        <v>1.195</v>
      </c>
      <c r="E113" s="13" t="inlineStr">
        <is>
          <t>Cluster 2</t>
        </is>
      </c>
      <c r="F113" s="21" t="n">
        <v>0.061</v>
      </c>
      <c r="G113" s="13" t="inlineStr">
        <is>
          <t>Cluster 1</t>
        </is>
      </c>
      <c r="H113" s="13" t="inlineStr">
        <is>
          <t>Cluster 1</t>
        </is>
      </c>
      <c r="I113" s="13">
        <f>IF(E113=G113, "CONGRUENT", "DISCORDANT")</f>
        <v/>
      </c>
    </row>
    <row r="114" ht="19" customHeight="1">
      <c r="A114" s="16" t="inlineStr">
        <is>
          <t>WINE-112</t>
        </is>
      </c>
      <c r="B114" s="17" t="inlineStr">
        <is>
          <t>Tuscany (Chianti Classico)</t>
        </is>
      </c>
      <c r="C114" s="22" t="n">
        <v>0.38</v>
      </c>
      <c r="D114" s="22" t="n">
        <v>1.853</v>
      </c>
      <c r="E114" s="16" t="inlineStr">
        <is>
          <t>Cluster 2</t>
        </is>
      </c>
      <c r="F114" s="22" t="n">
        <v>0.266</v>
      </c>
      <c r="G114" s="16" t="inlineStr">
        <is>
          <t>Cluster 1</t>
        </is>
      </c>
      <c r="H114" s="16" t="inlineStr">
        <is>
          <t>Cluster 1</t>
        </is>
      </c>
      <c r="I114" s="16">
        <f>IF(E114=G114, "CONGRUENT", "DISCORDANT")</f>
        <v/>
      </c>
    </row>
    <row r="115" ht="19" customHeight="1">
      <c r="A115" s="13" t="inlineStr">
        <is>
          <t>WINE-113</t>
        </is>
      </c>
      <c r="B115" s="14" t="inlineStr">
        <is>
          <t>Tuscany (Chianti Classico)</t>
        </is>
      </c>
      <c r="C115" s="21" t="n">
        <v>0.977</v>
      </c>
      <c r="D115" s="21" t="n">
        <v>1.072</v>
      </c>
      <c r="E115" s="13" t="inlineStr">
        <is>
          <t>Cluster 2</t>
        </is>
      </c>
      <c r="F115" s="21" t="n">
        <v>0.08799999999999999</v>
      </c>
      <c r="G115" s="13" t="inlineStr">
        <is>
          <t>Cluster 1</t>
        </is>
      </c>
      <c r="H115" s="13" t="inlineStr">
        <is>
          <t>Cluster 1</t>
        </is>
      </c>
      <c r="I115" s="13">
        <f>IF(E115=G115, "CONGRUENT", "DISCORDANT")</f>
        <v/>
      </c>
    </row>
    <row r="116" ht="19" customHeight="1">
      <c r="A116" s="16" t="inlineStr">
        <is>
          <t>WINE-114</t>
        </is>
      </c>
      <c r="B116" s="17" t="inlineStr">
        <is>
          <t>Tuscany (Chianti Classico)</t>
        </is>
      </c>
      <c r="C116" s="22" t="n">
        <v>0.152</v>
      </c>
      <c r="D116" s="22" t="n">
        <v>2.559</v>
      </c>
      <c r="E116" s="16" t="inlineStr">
        <is>
          <t>Cluster 2</t>
        </is>
      </c>
      <c r="F116" s="22" t="n">
        <v>0.291</v>
      </c>
      <c r="G116" s="16" t="inlineStr">
        <is>
          <t>Cluster 1</t>
        </is>
      </c>
      <c r="H116" s="16" t="inlineStr">
        <is>
          <t>Cluster 1</t>
        </is>
      </c>
      <c r="I116" s="16">
        <f>IF(E116=G116, "CONGRUENT", "DISCORDANT")</f>
        <v/>
      </c>
    </row>
    <row r="117" ht="19" customHeight="1">
      <c r="A117" s="13" t="inlineStr">
        <is>
          <t>WINE-115</t>
        </is>
      </c>
      <c r="B117" s="14" t="inlineStr">
        <is>
          <t>Tuscany (Chianti Classico)</t>
        </is>
      </c>
      <c r="C117" s="21" t="n">
        <v>0.527</v>
      </c>
      <c r="D117" s="21" t="n">
        <v>1.884</v>
      </c>
      <c r="E117" s="13" t="inlineStr">
        <is>
          <t>Cluster 2</t>
        </is>
      </c>
      <c r="F117" s="21" t="n">
        <v>0.277</v>
      </c>
      <c r="G117" s="13" t="inlineStr">
        <is>
          <t>Cluster 1</t>
        </is>
      </c>
      <c r="H117" s="13" t="inlineStr">
        <is>
          <t>Cluster 1</t>
        </is>
      </c>
      <c r="I117" s="13">
        <f>IF(E117=G117, "CONGRUENT", "DISCORDANT")</f>
        <v/>
      </c>
    </row>
    <row r="118" ht="19" customHeight="1">
      <c r="A118" s="16" t="inlineStr">
        <is>
          <t>WINE-116</t>
        </is>
      </c>
      <c r="B118" s="17" t="inlineStr">
        <is>
          <t>Tuscany (Chianti Classico)</t>
        </is>
      </c>
      <c r="C118" s="22" t="n">
        <v>-0.762</v>
      </c>
      <c r="D118" s="22" t="n">
        <v>4.082</v>
      </c>
      <c r="E118" s="16" t="inlineStr">
        <is>
          <t>Cluster 2</t>
        </is>
      </c>
      <c r="F118" s="22" t="n">
        <v>0.261</v>
      </c>
      <c r="G118" s="16" t="inlineStr">
        <is>
          <t>Cluster 1</t>
        </is>
      </c>
      <c r="H118" s="16" t="inlineStr">
        <is>
          <t>Cluster 1</t>
        </is>
      </c>
      <c r="I118" s="16">
        <f>IF(E118=G118, "CONGRUENT", "DISCORDANT")</f>
        <v/>
      </c>
    </row>
    <row r="119" ht="19" customHeight="1">
      <c r="A119" s="13" t="inlineStr">
        <is>
          <t>WINE-117</t>
        </is>
      </c>
      <c r="B119" s="14" t="inlineStr">
        <is>
          <t>Tuscany (Chianti Classico)</t>
        </is>
      </c>
      <c r="C119" s="21" t="n">
        <v>-0.161</v>
      </c>
      <c r="D119" s="21" t="n">
        <v>3.207</v>
      </c>
      <c r="E119" s="13" t="inlineStr">
        <is>
          <t>Cluster 2</t>
        </is>
      </c>
      <c r="F119" s="21" t="n">
        <v>0.293</v>
      </c>
      <c r="G119" s="13" t="inlineStr">
        <is>
          <t>Cluster 1</t>
        </is>
      </c>
      <c r="H119" s="13" t="inlineStr">
        <is>
          <t>Cluster 1</t>
        </is>
      </c>
      <c r="I119" s="13">
        <f>IF(E119=G119, "CONGRUENT", "DISCORDANT")</f>
        <v/>
      </c>
    </row>
    <row r="120" ht="19" customHeight="1">
      <c r="A120" s="16" t="inlineStr">
        <is>
          <t>WINE-118</t>
        </is>
      </c>
      <c r="B120" s="17" t="inlineStr">
        <is>
          <t>Tuscany (Chianti Classico)</t>
        </is>
      </c>
      <c r="C120" s="22" t="n">
        <v>-0.139</v>
      </c>
      <c r="D120" s="22" t="n">
        <v>2.028</v>
      </c>
      <c r="E120" s="16" t="inlineStr">
        <is>
          <t>Cluster 2</t>
        </is>
      </c>
      <c r="F120" s="22" t="n">
        <v>0.249</v>
      </c>
      <c r="G120" s="16" t="inlineStr">
        <is>
          <t>Cluster 1</t>
        </is>
      </c>
      <c r="H120" s="16" t="inlineStr">
        <is>
          <t>Cluster 1</t>
        </is>
      </c>
      <c r="I120" s="16">
        <f>IF(E120=G120, "CONGRUENT", "DISCORDANT")</f>
        <v/>
      </c>
    </row>
    <row r="121" ht="19" customHeight="1">
      <c r="A121" s="13" t="inlineStr">
        <is>
          <t>WINE-119</t>
        </is>
      </c>
      <c r="B121" s="14" t="inlineStr">
        <is>
          <t>Tuscany (Chianti Classico)</t>
        </is>
      </c>
      <c r="C121" s="21" t="n">
        <v>2.707</v>
      </c>
      <c r="D121" s="21" t="n">
        <v>0.981</v>
      </c>
      <c r="E121" s="13" t="inlineStr">
        <is>
          <t>Cluster 3</t>
        </is>
      </c>
      <c r="F121" s="21" t="n">
        <v>0.093</v>
      </c>
      <c r="G121" s="13" t="inlineStr">
        <is>
          <t>Cluster 2</t>
        </is>
      </c>
      <c r="H121" s="13" t="inlineStr">
        <is>
          <t>Cluster 1</t>
        </is>
      </c>
      <c r="I121" s="13">
        <f>IF(E121=G121, "CONGRUENT", "DISCORDANT")</f>
        <v/>
      </c>
    </row>
    <row r="122" ht="19" customHeight="1">
      <c r="A122" s="16" t="inlineStr">
        <is>
          <t>WINE-120</t>
        </is>
      </c>
      <c r="B122" s="17" t="inlineStr">
        <is>
          <t>Tuscany (Chianti Classico)</t>
        </is>
      </c>
      <c r="C122" s="22" t="n">
        <v>0.668</v>
      </c>
      <c r="D122" s="22" t="n">
        <v>1.911</v>
      </c>
      <c r="E122" s="16" t="inlineStr">
        <is>
          <t>Cluster 2</t>
        </is>
      </c>
      <c r="F122" s="22" t="n">
        <v>0.235</v>
      </c>
      <c r="G122" s="16" t="inlineStr">
        <is>
          <t>Cluster 1</t>
        </is>
      </c>
      <c r="H122" s="16" t="inlineStr">
        <is>
          <t>Cluster 1</t>
        </is>
      </c>
      <c r="I122" s="16">
        <f>IF(E122=G122, "CONGRUENT", "DISCORDANT")</f>
        <v/>
      </c>
    </row>
    <row r="123" ht="19" customHeight="1">
      <c r="A123" s="13" t="inlineStr">
        <is>
          <t>WINE-121</t>
        </is>
      </c>
      <c r="B123" s="14" t="inlineStr">
        <is>
          <t>Tuscany (Chianti Classico)</t>
        </is>
      </c>
      <c r="C123" s="21" t="n">
        <v>-0.946</v>
      </c>
      <c r="D123" s="21" t="n">
        <v>1.587</v>
      </c>
      <c r="E123" s="13" t="inlineStr">
        <is>
          <t>Cluster 2</t>
        </is>
      </c>
      <c r="F123" s="21" t="n">
        <v>0.156</v>
      </c>
      <c r="G123" s="13" t="inlineStr">
        <is>
          <t>Cluster 1</t>
        </is>
      </c>
      <c r="H123" s="13" t="inlineStr">
        <is>
          <t>Cluster 1</t>
        </is>
      </c>
      <c r="I123" s="13">
        <f>IF(E123=G123, "CONGRUENT", "DISCORDANT")</f>
        <v/>
      </c>
    </row>
    <row r="124" ht="19" customHeight="1">
      <c r="A124" s="16" t="inlineStr">
        <is>
          <t>WINE-122</t>
        </is>
      </c>
      <c r="B124" s="17" t="inlineStr">
        <is>
          <t>Tuscany (Chianti Classico)</t>
        </is>
      </c>
      <c r="C124" s="22" t="n">
        <v>-1.276</v>
      </c>
      <c r="D124" s="22" t="n">
        <v>-0.34</v>
      </c>
      <c r="E124" s="16" t="inlineStr">
        <is>
          <t>Cluster 1</t>
        </is>
      </c>
      <c r="F124" s="22" t="n">
        <v>0.017</v>
      </c>
      <c r="G124" s="16" t="inlineStr">
        <is>
          <t>Cluster 3</t>
        </is>
      </c>
      <c r="H124" s="16" t="inlineStr">
        <is>
          <t>Cluster 2</t>
        </is>
      </c>
      <c r="I124" s="16">
        <f>IF(E124=G124, "CONGRUENT", "DISCORDANT")</f>
        <v/>
      </c>
    </row>
    <row r="125" ht="19" customHeight="1">
      <c r="A125" s="13" t="inlineStr">
        <is>
          <t>WINE-123</t>
        </is>
      </c>
      <c r="B125" s="14" t="inlineStr">
        <is>
          <t>Tuscany (Chianti Classico)</t>
        </is>
      </c>
      <c r="C125" s="21" t="n">
        <v>1.207</v>
      </c>
      <c r="D125" s="21" t="n">
        <v>0.748</v>
      </c>
      <c r="E125" s="13" t="inlineStr">
        <is>
          <t>Cluster 2</t>
        </is>
      </c>
      <c r="F125" s="21" t="n">
        <v>0.08400000000000001</v>
      </c>
      <c r="G125" s="13" t="inlineStr">
        <is>
          <t>Cluster 1</t>
        </is>
      </c>
      <c r="H125" s="13" t="inlineStr">
        <is>
          <t>Cluster 1</t>
        </is>
      </c>
      <c r="I125" s="13">
        <f>IF(E125=G125, "CONGRUENT", "DISCORDANT")</f>
        <v/>
      </c>
    </row>
    <row r="126" ht="19" customHeight="1">
      <c r="A126" s="16" t="inlineStr">
        <is>
          <t>WINE-124</t>
        </is>
      </c>
      <c r="B126" s="17" t="inlineStr">
        <is>
          <t>Tuscany (Chianti Classico)</t>
        </is>
      </c>
      <c r="C126" s="22" t="n">
        <v>0.603</v>
      </c>
      <c r="D126" s="22" t="n">
        <v>0.38</v>
      </c>
      <c r="E126" s="16" t="inlineStr">
        <is>
          <t>Cluster 2</t>
        </is>
      </c>
      <c r="F126" s="22" t="n">
        <v>0.078</v>
      </c>
      <c r="G126" s="16" t="inlineStr">
        <is>
          <t>Cluster 1</t>
        </is>
      </c>
      <c r="H126" s="16" t="inlineStr">
        <is>
          <t>Cluster 1</t>
        </is>
      </c>
      <c r="I126" s="16">
        <f>IF(E126=G126, "CONGRUENT", "DISCORDANT")</f>
        <v/>
      </c>
    </row>
    <row r="127" ht="19" customHeight="1">
      <c r="A127" s="13" t="inlineStr">
        <is>
          <t>WINE-125</t>
        </is>
      </c>
      <c r="B127" s="14" t="inlineStr">
        <is>
          <t>Tuscany (Chianti Classico)</t>
        </is>
      </c>
      <c r="C127" s="21" t="n">
        <v>-0.6879999999999999</v>
      </c>
      <c r="D127" s="21" t="n">
        <v>0.964</v>
      </c>
      <c r="E127" s="13" t="inlineStr">
        <is>
          <t>Cluster 2</t>
        </is>
      </c>
      <c r="F127" s="21" t="n">
        <v>0.093</v>
      </c>
      <c r="G127" s="13" t="inlineStr">
        <is>
          <t>Cluster 1</t>
        </is>
      </c>
      <c r="H127" s="13" t="inlineStr">
        <is>
          <t>Cluster 1</t>
        </is>
      </c>
      <c r="I127" s="13">
        <f>IF(E127=G127, "CONGRUENT", "DISCORDANT")</f>
        <v/>
      </c>
    </row>
    <row r="128" ht="19" customHeight="1">
      <c r="A128" s="16" t="inlineStr">
        <is>
          <t>WINE-126</t>
        </is>
      </c>
      <c r="B128" s="17" t="inlineStr">
        <is>
          <t>Tuscany (Chianti Classico)</t>
        </is>
      </c>
      <c r="C128" s="22" t="n">
        <v>0.07199999999999999</v>
      </c>
      <c r="D128" s="22" t="n">
        <v>2.21</v>
      </c>
      <c r="E128" s="16" t="inlineStr">
        <is>
          <t>Cluster 2</t>
        </is>
      </c>
      <c r="F128" s="22" t="n">
        <v>0.29</v>
      </c>
      <c r="G128" s="16" t="inlineStr">
        <is>
          <t>Cluster 1</t>
        </is>
      </c>
      <c r="H128" s="16" t="inlineStr">
        <is>
          <t>Cluster 1</t>
        </is>
      </c>
      <c r="I128" s="16">
        <f>IF(E128=G128, "CONGRUENT", "DISCORDANT")</f>
        <v/>
      </c>
    </row>
    <row r="129" ht="19" customHeight="1">
      <c r="A129" s="13" t="inlineStr">
        <is>
          <t>WINE-127</t>
        </is>
      </c>
      <c r="B129" s="14" t="inlineStr">
        <is>
          <t>Tuscany (Chianti Classico)</t>
        </is>
      </c>
      <c r="C129" s="21" t="n">
        <v>0.293</v>
      </c>
      <c r="D129" s="21" t="n">
        <v>0.924</v>
      </c>
      <c r="E129" s="13" t="inlineStr">
        <is>
          <t>Cluster 2</t>
        </is>
      </c>
      <c r="F129" s="21" t="n">
        <v>0.164</v>
      </c>
      <c r="G129" s="13" t="inlineStr">
        <is>
          <t>Cluster 1</t>
        </is>
      </c>
      <c r="H129" s="13" t="inlineStr">
        <is>
          <t>Cluster 1</t>
        </is>
      </c>
      <c r="I129" s="13">
        <f>IF(E129=G129, "CONGRUENT", "DISCORDANT")</f>
        <v/>
      </c>
    </row>
    <row r="130" ht="19" customHeight="1">
      <c r="A130" s="16" t="inlineStr">
        <is>
          <t>WINE-128</t>
        </is>
      </c>
      <c r="B130" s="17" t="inlineStr">
        <is>
          <t>Tuscany (Chianti Classico)</t>
        </is>
      </c>
      <c r="C130" s="22" t="n">
        <v>1.773</v>
      </c>
      <c r="D130" s="22" t="n">
        <v>1.237</v>
      </c>
      <c r="E130" s="16" t="inlineStr">
        <is>
          <t>Cluster 2</t>
        </is>
      </c>
      <c r="F130" s="22" t="n">
        <v>0.058</v>
      </c>
      <c r="G130" s="16" t="inlineStr">
        <is>
          <t>Cluster 1</t>
        </is>
      </c>
      <c r="H130" s="16" t="inlineStr">
        <is>
          <t>Cluster 1</t>
        </is>
      </c>
      <c r="I130" s="16">
        <f>IF(E130=G130, "CONGRUENT", "DISCORDANT")</f>
        <v/>
      </c>
    </row>
    <row r="131" ht="19" customHeight="1">
      <c r="A131" s="13" t="inlineStr">
        <is>
          <t>WINE-129</t>
        </is>
      </c>
      <c r="B131" s="14" t="inlineStr">
        <is>
          <t>Tuscany (Chianti Classico)</t>
        </is>
      </c>
      <c r="C131" s="21" t="n">
        <v>0.465</v>
      </c>
      <c r="D131" s="21" t="n">
        <v>1.849</v>
      </c>
      <c r="E131" s="13" t="inlineStr">
        <is>
          <t>Cluster 2</t>
        </is>
      </c>
      <c r="F131" s="21" t="n">
        <v>0.27</v>
      </c>
      <c r="G131" s="13" t="inlineStr">
        <is>
          <t>Cluster 1</t>
        </is>
      </c>
      <c r="H131" s="13" t="inlineStr">
        <is>
          <t>Cluster 1</t>
        </is>
      </c>
      <c r="I131" s="13">
        <f>IF(E131=G131, "CONGRUENT", "DISCORDANT")</f>
        <v/>
      </c>
    </row>
    <row r="132" ht="19" customHeight="1">
      <c r="A132" s="16" t="inlineStr">
        <is>
          <t>WINE-130</t>
        </is>
      </c>
      <c r="B132" s="17" t="inlineStr">
        <is>
          <t>Tuscany (Chianti Classico)</t>
        </is>
      </c>
      <c r="C132" s="22" t="n">
        <v>2.088</v>
      </c>
      <c r="D132" s="22" t="n">
        <v>0.93</v>
      </c>
      <c r="E132" s="16" t="inlineStr">
        <is>
          <t>Cluster 2</t>
        </is>
      </c>
      <c r="F132" s="22" t="n">
        <v>0.002</v>
      </c>
      <c r="G132" s="16" t="inlineStr">
        <is>
          <t>Cluster 1</t>
        </is>
      </c>
      <c r="H132" s="16" t="inlineStr">
        <is>
          <t>Cluster 1</t>
        </is>
      </c>
      <c r="I132" s="16">
        <f>IF(E132=G132, "CONGRUENT", "DISCORDANT")</f>
        <v/>
      </c>
    </row>
    <row r="133" ht="19" customHeight="1">
      <c r="A133" s="13" t="inlineStr">
        <is>
          <t>WINE-131</t>
        </is>
      </c>
      <c r="B133" s="14" t="inlineStr">
        <is>
          <t>Veneto (Valpolicella)</t>
        </is>
      </c>
      <c r="C133" s="21" t="n">
        <v>0.976</v>
      </c>
      <c r="D133" s="21" t="n">
        <v>0.175</v>
      </c>
      <c r="E133" s="13" t="inlineStr">
        <is>
          <t>Cluster 3</t>
        </is>
      </c>
      <c r="F133" s="21" t="n">
        <v>0.048</v>
      </c>
      <c r="G133" s="13" t="inlineStr">
        <is>
          <t>Cluster 2</t>
        </is>
      </c>
      <c r="H133" s="13" t="inlineStr">
        <is>
          <t>Cluster 1</t>
        </is>
      </c>
      <c r="I133" s="13">
        <f>IF(E133=G133, "CONGRUENT", "DISCORDANT")</f>
        <v/>
      </c>
    </row>
    <row r="134" ht="19" customHeight="1">
      <c r="A134" s="16" t="inlineStr">
        <is>
          <t>WINE-132</t>
        </is>
      </c>
      <c r="B134" s="17" t="inlineStr">
        <is>
          <t>Veneto (Valpolicella)</t>
        </is>
      </c>
      <c r="C134" s="22" t="n">
        <v>2.682</v>
      </c>
      <c r="D134" s="22" t="n">
        <v>-0.6899999999999999</v>
      </c>
      <c r="E134" s="16" t="inlineStr">
        <is>
          <t>Cluster 3</t>
        </is>
      </c>
      <c r="F134" s="22" t="n">
        <v>0.255</v>
      </c>
      <c r="G134" s="16" t="inlineStr">
        <is>
          <t>Cluster 2</t>
        </is>
      </c>
      <c r="H134" s="16" t="inlineStr">
        <is>
          <t>Cluster 1</t>
        </is>
      </c>
      <c r="I134" s="16">
        <f>IF(E134=G134, "CONGRUENT", "DISCORDANT")</f>
        <v/>
      </c>
    </row>
    <row r="135" ht="19" customHeight="1">
      <c r="A135" s="13" t="inlineStr">
        <is>
          <t>WINE-133</t>
        </is>
      </c>
      <c r="B135" s="14" t="inlineStr">
        <is>
          <t>Veneto (Valpolicella)</t>
        </is>
      </c>
      <c r="C135" s="21" t="n">
        <v>2.943</v>
      </c>
      <c r="D135" s="21" t="n">
        <v>-0.194</v>
      </c>
      <c r="E135" s="13" t="inlineStr">
        <is>
          <t>Cluster 3</t>
        </is>
      </c>
      <c r="F135" s="21" t="n">
        <v>0.272</v>
      </c>
      <c r="G135" s="13" t="inlineStr">
        <is>
          <t>Cluster 2</t>
        </is>
      </c>
      <c r="H135" s="13" t="inlineStr">
        <is>
          <t>Cluster 1</t>
        </is>
      </c>
      <c r="I135" s="13">
        <f>IF(E135=G135, "CONGRUENT", "DISCORDANT")</f>
        <v/>
      </c>
    </row>
    <row r="136" ht="19" customHeight="1">
      <c r="A136" s="16" t="inlineStr">
        <is>
          <t>WINE-134</t>
        </is>
      </c>
      <c r="B136" s="17" t="inlineStr">
        <is>
          <t>Veneto (Valpolicella)</t>
        </is>
      </c>
      <c r="C136" s="22" t="n">
        <v>2.202</v>
      </c>
      <c r="D136" s="22" t="n">
        <v>-0.29</v>
      </c>
      <c r="E136" s="16" t="inlineStr">
        <is>
          <t>Cluster 3</t>
        </is>
      </c>
      <c r="F136" s="22" t="n">
        <v>0.218</v>
      </c>
      <c r="G136" s="16" t="inlineStr">
        <is>
          <t>Cluster 2</t>
        </is>
      </c>
      <c r="H136" s="16" t="inlineStr">
        <is>
          <t>Cluster 1</t>
        </is>
      </c>
      <c r="I136" s="16">
        <f>IF(E136=G136, "CONGRUENT", "DISCORDANT")</f>
        <v/>
      </c>
    </row>
    <row r="137" ht="19" customHeight="1">
      <c r="A137" s="13" t="inlineStr">
        <is>
          <t>WINE-135</t>
        </is>
      </c>
      <c r="B137" s="14" t="inlineStr">
        <is>
          <t>Veneto (Valpolicella)</t>
        </is>
      </c>
      <c r="C137" s="21" t="n">
        <v>2.139</v>
      </c>
      <c r="D137" s="21" t="n">
        <v>0.848</v>
      </c>
      <c r="E137" s="13" t="inlineStr">
        <is>
          <t>Cluster 3</t>
        </is>
      </c>
      <c r="F137" s="21" t="n">
        <v>0.081</v>
      </c>
      <c r="G137" s="13" t="inlineStr">
        <is>
          <t>Cluster 2</t>
        </is>
      </c>
      <c r="H137" s="13" t="inlineStr">
        <is>
          <t>Cluster 1</t>
        </is>
      </c>
      <c r="I137" s="13">
        <f>IF(E137=G137, "CONGRUENT", "DISCORDANT")</f>
        <v/>
      </c>
    </row>
    <row r="138" ht="19" customHeight="1">
      <c r="A138" s="16" t="inlineStr">
        <is>
          <t>WINE-136</t>
        </is>
      </c>
      <c r="B138" s="17" t="inlineStr">
        <is>
          <t>Veneto (Valpolicella)</t>
        </is>
      </c>
      <c r="C138" s="22" t="n">
        <v>3.226</v>
      </c>
      <c r="D138" s="22" t="n">
        <v>-0.342</v>
      </c>
      <c r="E138" s="16" t="inlineStr">
        <is>
          <t>Cluster 3</t>
        </is>
      </c>
      <c r="F138" s="22" t="n">
        <v>0.295</v>
      </c>
      <c r="G138" s="16" t="inlineStr">
        <is>
          <t>Cluster 2</t>
        </is>
      </c>
      <c r="H138" s="16" t="inlineStr">
        <is>
          <t>Cluster 1</t>
        </is>
      </c>
      <c r="I138" s="16">
        <f>IF(E138=G138, "CONGRUENT", "DISCORDANT")</f>
        <v/>
      </c>
    </row>
    <row r="139" ht="19" customHeight="1">
      <c r="A139" s="13" t="inlineStr">
        <is>
          <t>WINE-137</t>
        </is>
      </c>
      <c r="B139" s="14" t="inlineStr">
        <is>
          <t>Veneto (Valpolicella)</t>
        </is>
      </c>
      <c r="C139" s="21" t="n">
        <v>3.945</v>
      </c>
      <c r="D139" s="21" t="n">
        <v>0.012</v>
      </c>
      <c r="E139" s="13" t="inlineStr">
        <is>
          <t>Cluster 3</t>
        </is>
      </c>
      <c r="F139" s="21" t="n">
        <v>0.294</v>
      </c>
      <c r="G139" s="13" t="inlineStr">
        <is>
          <t>Cluster 2</t>
        </is>
      </c>
      <c r="H139" s="13" t="inlineStr">
        <is>
          <t>Cluster 1</t>
        </is>
      </c>
      <c r="I139" s="13">
        <f>IF(E139=G139, "CONGRUENT", "DISCORDANT")</f>
        <v/>
      </c>
    </row>
    <row r="140" ht="19" customHeight="1">
      <c r="A140" s="16" t="inlineStr">
        <is>
          <t>WINE-138</t>
        </is>
      </c>
      <c r="B140" s="17" t="inlineStr">
        <is>
          <t>Veneto (Valpolicella)</t>
        </is>
      </c>
      <c r="C140" s="22" t="n">
        <v>4.123</v>
      </c>
      <c r="D140" s="22" t="n">
        <v>-0.672</v>
      </c>
      <c r="E140" s="16" t="inlineStr">
        <is>
          <t>Cluster 3</t>
        </is>
      </c>
      <c r="F140" s="22" t="n">
        <v>0.281</v>
      </c>
      <c r="G140" s="16" t="inlineStr">
        <is>
          <t>Cluster 2</t>
        </is>
      </c>
      <c r="H140" s="16" t="inlineStr">
        <is>
          <t>Cluster 1</t>
        </is>
      </c>
      <c r="I140" s="16">
        <f>IF(E140=G140, "CONGRUENT", "DISCORDANT")</f>
        <v/>
      </c>
    </row>
    <row r="141" ht="19" customHeight="1">
      <c r="A141" s="13" t="inlineStr">
        <is>
          <t>WINE-139</t>
        </is>
      </c>
      <c r="B141" s="14" t="inlineStr">
        <is>
          <t>Veneto (Valpolicella)</t>
        </is>
      </c>
      <c r="C141" s="21" t="n">
        <v>3.313</v>
      </c>
      <c r="D141" s="21" t="n">
        <v>-0.488</v>
      </c>
      <c r="E141" s="13" t="inlineStr">
        <is>
          <t>Cluster 3</t>
        </is>
      </c>
      <c r="F141" s="21" t="n">
        <v>0.324</v>
      </c>
      <c r="G141" s="13" t="inlineStr">
        <is>
          <t>Cluster 2</t>
        </is>
      </c>
      <c r="H141" s="13" t="inlineStr">
        <is>
          <t>Cluster 1</t>
        </is>
      </c>
      <c r="I141" s="13">
        <f>IF(E141=G141, "CONGRUENT", "DISCORDANT")</f>
        <v/>
      </c>
    </row>
    <row r="142" ht="19" customHeight="1">
      <c r="A142" s="16" t="inlineStr">
        <is>
          <t>WINE-140</t>
        </is>
      </c>
      <c r="B142" s="17" t="inlineStr">
        <is>
          <t>Veneto (Valpolicella)</t>
        </is>
      </c>
      <c r="C142" s="22" t="n">
        <v>2.385</v>
      </c>
      <c r="D142" s="22" t="n">
        <v>-0.05</v>
      </c>
      <c r="E142" s="16" t="inlineStr">
        <is>
          <t>Cluster 3</t>
        </is>
      </c>
      <c r="F142" s="22" t="n">
        <v>0.181</v>
      </c>
      <c r="G142" s="16" t="inlineStr">
        <is>
          <t>Cluster 2</t>
        </is>
      </c>
      <c r="H142" s="16" t="inlineStr">
        <is>
          <t>Cluster 1</t>
        </is>
      </c>
      <c r="I142" s="16">
        <f>IF(E142=G142, "CONGRUENT", "DISCORDANT")</f>
        <v/>
      </c>
    </row>
    <row r="143" ht="19" customHeight="1">
      <c r="A143" s="13" t="inlineStr">
        <is>
          <t>WINE-141</t>
        </is>
      </c>
      <c r="B143" s="14" t="inlineStr">
        <is>
          <t>Veneto (Valpolicella)</t>
        </is>
      </c>
      <c r="C143" s="21" t="n">
        <v>2.746</v>
      </c>
      <c r="D143" s="21" t="n">
        <v>-0.176</v>
      </c>
      <c r="E143" s="13" t="inlineStr">
        <is>
          <t>Cluster 3</t>
        </is>
      </c>
      <c r="F143" s="21" t="n">
        <v>0.25</v>
      </c>
      <c r="G143" s="13" t="inlineStr">
        <is>
          <t>Cluster 2</t>
        </is>
      </c>
      <c r="H143" s="13" t="inlineStr">
        <is>
          <t>Cluster 1</t>
        </is>
      </c>
      <c r="I143" s="13">
        <f>IF(E143=G143, "CONGRUENT", "DISCORDANT")</f>
        <v/>
      </c>
    </row>
    <row r="144" ht="19" customHeight="1">
      <c r="A144" s="16" t="inlineStr">
        <is>
          <t>WINE-142</t>
        </is>
      </c>
      <c r="B144" s="17" t="inlineStr">
        <is>
          <t>Veneto (Valpolicella)</t>
        </is>
      </c>
      <c r="C144" s="22" t="n">
        <v>2.429</v>
      </c>
      <c r="D144" s="22" t="n">
        <v>-0.298</v>
      </c>
      <c r="E144" s="16" t="inlineStr">
        <is>
          <t>Cluster 3</t>
        </is>
      </c>
      <c r="F144" s="22" t="n">
        <v>0.231</v>
      </c>
      <c r="G144" s="16" t="inlineStr">
        <is>
          <t>Cluster 2</t>
        </is>
      </c>
      <c r="H144" s="16" t="inlineStr">
        <is>
          <t>Cluster 1</t>
        </is>
      </c>
      <c r="I144" s="16">
        <f>IF(E144=G144, "CONGRUENT", "DISCORDANT")</f>
        <v/>
      </c>
    </row>
    <row r="145" ht="19" customHeight="1">
      <c r="A145" s="13" t="inlineStr">
        <is>
          <t>WINE-143</t>
        </is>
      </c>
      <c r="B145" s="14" t="inlineStr">
        <is>
          <t>Veneto (Valpolicella)</t>
        </is>
      </c>
      <c r="C145" s="21" t="n">
        <v>3.063</v>
      </c>
      <c r="D145" s="21" t="n">
        <v>-0.464</v>
      </c>
      <c r="E145" s="13" t="inlineStr">
        <is>
          <t>Cluster 3</t>
        </is>
      </c>
      <c r="F145" s="21" t="n">
        <v>0.277</v>
      </c>
      <c r="G145" s="13" t="inlineStr">
        <is>
          <t>Cluster 2</t>
        </is>
      </c>
      <c r="H145" s="13" t="inlineStr">
        <is>
          <t>Cluster 1</t>
        </is>
      </c>
      <c r="I145" s="13">
        <f>IF(E145=G145, "CONGRUENT", "DISCORDANT")</f>
        <v/>
      </c>
    </row>
    <row r="146" ht="19" customHeight="1">
      <c r="A146" s="16" t="inlineStr">
        <is>
          <t>WINE-144</t>
        </is>
      </c>
      <c r="B146" s="17" t="inlineStr">
        <is>
          <t>Veneto (Valpolicella)</t>
        </is>
      </c>
      <c r="C146" s="22" t="n">
        <v>2.608</v>
      </c>
      <c r="D146" s="22" t="n">
        <v>-0.624</v>
      </c>
      <c r="E146" s="16" t="inlineStr">
        <is>
          <t>Cluster 3</t>
        </is>
      </c>
      <c r="F146" s="22" t="n">
        <v>0.242</v>
      </c>
      <c r="G146" s="16" t="inlineStr">
        <is>
          <t>Cluster 2</t>
        </is>
      </c>
      <c r="H146" s="16" t="inlineStr">
        <is>
          <t>Cluster 1</t>
        </is>
      </c>
      <c r="I146" s="16">
        <f>IF(E146=G146, "CONGRUENT", "DISCORDANT")</f>
        <v/>
      </c>
    </row>
    <row r="147" ht="19" customHeight="1">
      <c r="A147" s="13" t="inlineStr">
        <is>
          <t>WINE-145</t>
        </is>
      </c>
      <c r="B147" s="14" t="inlineStr">
        <is>
          <t>Veneto (Valpolicella)</t>
        </is>
      </c>
      <c r="C147" s="21" t="n">
        <v>2.307</v>
      </c>
      <c r="D147" s="21" t="n">
        <v>-0.993</v>
      </c>
      <c r="E147" s="13" t="inlineStr">
        <is>
          <t>Cluster 3</t>
        </is>
      </c>
      <c r="F147" s="21" t="n">
        <v>0.274</v>
      </c>
      <c r="G147" s="13" t="inlineStr">
        <is>
          <t>Cluster 2</t>
        </is>
      </c>
      <c r="H147" s="13" t="inlineStr">
        <is>
          <t>Cluster 1</t>
        </is>
      </c>
      <c r="I147" s="13">
        <f>IF(E147=G147, "CONGRUENT", "DISCORDANT")</f>
        <v/>
      </c>
    </row>
    <row r="148" ht="19" customHeight="1">
      <c r="A148" s="16" t="inlineStr">
        <is>
          <t>WINE-146</t>
        </is>
      </c>
      <c r="B148" s="17" t="inlineStr">
        <is>
          <t>Veneto (Valpolicella)</t>
        </is>
      </c>
      <c r="C148" s="22" t="n">
        <v>2.631</v>
      </c>
      <c r="D148" s="22" t="n">
        <v>-0.341</v>
      </c>
      <c r="E148" s="16" t="inlineStr">
        <is>
          <t>Cluster 3</t>
        </is>
      </c>
      <c r="F148" s="22" t="n">
        <v>0.277</v>
      </c>
      <c r="G148" s="16" t="inlineStr">
        <is>
          <t>Cluster 2</t>
        </is>
      </c>
      <c r="H148" s="16" t="inlineStr">
        <is>
          <t>Cluster 1</t>
        </is>
      </c>
      <c r="I148" s="16">
        <f>IF(E148=G148, "CONGRUENT", "DISCORDANT")</f>
        <v/>
      </c>
    </row>
    <row r="149" ht="19" customHeight="1">
      <c r="A149" s="13" t="inlineStr">
        <is>
          <t>WINE-147</t>
        </is>
      </c>
      <c r="B149" s="14" t="inlineStr">
        <is>
          <t>Veneto (Valpolicella)</t>
        </is>
      </c>
      <c r="C149" s="21" t="n">
        <v>4.268</v>
      </c>
      <c r="D149" s="21" t="n">
        <v>-0.467</v>
      </c>
      <c r="E149" s="13" t="inlineStr">
        <is>
          <t>Cluster 3</t>
        </is>
      </c>
      <c r="F149" s="21" t="n">
        <v>0.325</v>
      </c>
      <c r="G149" s="13" t="inlineStr">
        <is>
          <t>Cluster 2</t>
        </is>
      </c>
      <c r="H149" s="13" t="inlineStr">
        <is>
          <t>Cluster 1</t>
        </is>
      </c>
      <c r="I149" s="13">
        <f>IF(E149=G149, "CONGRUENT", "DISCORDANT")</f>
        <v/>
      </c>
    </row>
    <row r="150" ht="19" customHeight="1">
      <c r="A150" s="16" t="inlineStr">
        <is>
          <t>WINE-148</t>
        </is>
      </c>
      <c r="B150" s="17" t="inlineStr">
        <is>
          <t>Veneto (Valpolicella)</t>
        </is>
      </c>
      <c r="C150" s="22" t="n">
        <v>3.925</v>
      </c>
      <c r="D150" s="22" t="n">
        <v>-1.701</v>
      </c>
      <c r="E150" s="16" t="inlineStr">
        <is>
          <t>Cluster 3</t>
        </is>
      </c>
      <c r="F150" s="22" t="n">
        <v>0.321</v>
      </c>
      <c r="G150" s="16" t="inlineStr">
        <is>
          <t>Cluster 2</t>
        </is>
      </c>
      <c r="H150" s="16" t="inlineStr">
        <is>
          <t>Cluster 1</t>
        </is>
      </c>
      <c r="I150" s="16">
        <f>IF(E150=G150, "CONGRUENT", "DISCORDANT")</f>
        <v/>
      </c>
    </row>
    <row r="151" ht="19" customHeight="1">
      <c r="A151" s="13" t="inlineStr">
        <is>
          <t>WINE-149</t>
        </is>
      </c>
      <c r="B151" s="14" t="inlineStr">
        <is>
          <t>Veneto (Valpolicella)</t>
        </is>
      </c>
      <c r="C151" s="21" t="n">
        <v>2.568</v>
      </c>
      <c r="D151" s="21" t="n">
        <v>-1.266</v>
      </c>
      <c r="E151" s="13" t="inlineStr">
        <is>
          <t>Cluster 3</t>
        </is>
      </c>
      <c r="F151" s="21" t="n">
        <v>0.334</v>
      </c>
      <c r="G151" s="13" t="inlineStr">
        <is>
          <t>Cluster 2</t>
        </is>
      </c>
      <c r="H151" s="13" t="inlineStr">
        <is>
          <t>Cluster 1</t>
        </is>
      </c>
      <c r="I151" s="13">
        <f>IF(E151=G151, "CONGRUENT", "DISCORDANT")</f>
        <v/>
      </c>
    </row>
    <row r="152" ht="19" customHeight="1">
      <c r="A152" s="16" t="inlineStr">
        <is>
          <t>WINE-150</t>
        </is>
      </c>
      <c r="B152" s="17" t="inlineStr">
        <is>
          <t>Veneto (Valpolicella)</t>
        </is>
      </c>
      <c r="C152" s="22" t="n">
        <v>3.261</v>
      </c>
      <c r="D152" s="22" t="n">
        <v>-2.091</v>
      </c>
      <c r="E152" s="16" t="inlineStr">
        <is>
          <t>Cluster 3</t>
        </is>
      </c>
      <c r="F152" s="22" t="n">
        <v>0.34</v>
      </c>
      <c r="G152" s="16" t="inlineStr">
        <is>
          <t>Cluster 2</t>
        </is>
      </c>
      <c r="H152" s="16" t="inlineStr">
        <is>
          <t>Cluster 1</t>
        </is>
      </c>
      <c r="I152" s="16">
        <f>IF(E152=G152, "CONGRUENT", "DISCORDANT")</f>
        <v/>
      </c>
    </row>
    <row r="153" ht="19" customHeight="1">
      <c r="A153" s="13" t="inlineStr">
        <is>
          <t>WINE-151</t>
        </is>
      </c>
      <c r="B153" s="14" t="inlineStr">
        <is>
          <t>Veneto (Valpolicella)</t>
        </is>
      </c>
      <c r="C153" s="21" t="n">
        <v>2.386</v>
      </c>
      <c r="D153" s="21" t="n">
        <v>-2.103</v>
      </c>
      <c r="E153" s="13" t="inlineStr">
        <is>
          <t>Cluster 3</t>
        </is>
      </c>
      <c r="F153" s="21" t="n">
        <v>0.309</v>
      </c>
      <c r="G153" s="13" t="inlineStr">
        <is>
          <t>Cluster 2</t>
        </is>
      </c>
      <c r="H153" s="13" t="inlineStr">
        <is>
          <t>Cluster 1</t>
        </is>
      </c>
      <c r="I153" s="13">
        <f>IF(E153=G153, "CONGRUENT", "DISCORDANT")</f>
        <v/>
      </c>
    </row>
    <row r="154" ht="19" customHeight="1">
      <c r="A154" s="16" t="inlineStr">
        <is>
          <t>WINE-152</t>
        </is>
      </c>
      <c r="B154" s="17" t="inlineStr">
        <is>
          <t>Veneto (Valpolicella)</t>
        </is>
      </c>
      <c r="C154" s="22" t="n">
        <v>2.544</v>
      </c>
      <c r="D154" s="22" t="n">
        <v>-1.918</v>
      </c>
      <c r="E154" s="16" t="inlineStr">
        <is>
          <t>Cluster 3</t>
        </is>
      </c>
      <c r="F154" s="22" t="n">
        <v>0.322</v>
      </c>
      <c r="G154" s="16" t="inlineStr">
        <is>
          <t>Cluster 2</t>
        </is>
      </c>
      <c r="H154" s="16" t="inlineStr">
        <is>
          <t>Cluster 1</t>
        </is>
      </c>
      <c r="I154" s="16">
        <f>IF(E154=G154, "CONGRUENT", "DISCORDANT")</f>
        <v/>
      </c>
    </row>
    <row r="155" ht="19" customHeight="1">
      <c r="A155" s="13" t="inlineStr">
        <is>
          <t>WINE-153</t>
        </is>
      </c>
      <c r="B155" s="14" t="inlineStr">
        <is>
          <t>Veneto (Valpolicella)</t>
        </is>
      </c>
      <c r="C155" s="21" t="n">
        <v>1.748</v>
      </c>
      <c r="D155" s="21" t="n">
        <v>-1.311</v>
      </c>
      <c r="E155" s="13" t="inlineStr">
        <is>
          <t>Cluster 3</t>
        </is>
      </c>
      <c r="F155" s="21" t="n">
        <v>0.22</v>
      </c>
      <c r="G155" s="13" t="inlineStr">
        <is>
          <t>Cluster 2</t>
        </is>
      </c>
      <c r="H155" s="13" t="inlineStr">
        <is>
          <t>Cluster 1</t>
        </is>
      </c>
      <c r="I155" s="13">
        <f>IF(E155=G155, "CONGRUENT", "DISCORDANT")</f>
        <v/>
      </c>
    </row>
    <row r="156" ht="19" customHeight="1">
      <c r="A156" s="16" t="inlineStr">
        <is>
          <t>WINE-154</t>
        </is>
      </c>
      <c r="B156" s="17" t="inlineStr">
        <is>
          <t>Veneto (Valpolicella)</t>
        </is>
      </c>
      <c r="C156" s="22" t="n">
        <v>2.965</v>
      </c>
      <c r="D156" s="22" t="n">
        <v>-2.52</v>
      </c>
      <c r="E156" s="16" t="inlineStr">
        <is>
          <t>Cluster 3</t>
        </is>
      </c>
      <c r="F156" s="22" t="n">
        <v>0.285</v>
      </c>
      <c r="G156" s="16" t="inlineStr">
        <is>
          <t>Cluster 2</t>
        </is>
      </c>
      <c r="H156" s="16" t="inlineStr">
        <is>
          <t>Cluster 1</t>
        </is>
      </c>
      <c r="I156" s="16">
        <f>IF(E156=G156, "CONGRUENT", "DISCORDANT")</f>
        <v/>
      </c>
    </row>
    <row r="157" ht="19" customHeight="1">
      <c r="A157" s="13" t="inlineStr">
        <is>
          <t>WINE-155</t>
        </is>
      </c>
      <c r="B157" s="14" t="inlineStr">
        <is>
          <t>Veneto (Valpolicella)</t>
        </is>
      </c>
      <c r="C157" s="21" t="n">
        <v>2.649</v>
      </c>
      <c r="D157" s="21" t="n">
        <v>-0.128</v>
      </c>
      <c r="E157" s="13" t="inlineStr">
        <is>
          <t>Cluster 3</t>
        </is>
      </c>
      <c r="F157" s="21" t="n">
        <v>0.253</v>
      </c>
      <c r="G157" s="13" t="inlineStr">
        <is>
          <t>Cluster 2</t>
        </is>
      </c>
      <c r="H157" s="13" t="inlineStr">
        <is>
          <t>Cluster 1</t>
        </is>
      </c>
      <c r="I157" s="13">
        <f>IF(E157=G157, "CONGRUENT", "DISCORDANT")</f>
        <v/>
      </c>
    </row>
    <row r="158" ht="19" customHeight="1">
      <c r="A158" s="16" t="inlineStr">
        <is>
          <t>WINE-156</t>
        </is>
      </c>
      <c r="B158" s="17" t="inlineStr">
        <is>
          <t>Veneto (Valpolicella)</t>
        </is>
      </c>
      <c r="C158" s="22" t="n">
        <v>3.904</v>
      </c>
      <c r="D158" s="22" t="n">
        <v>-1.812</v>
      </c>
      <c r="E158" s="16" t="inlineStr">
        <is>
          <t>Cluster 3</t>
        </is>
      </c>
      <c r="F158" s="22" t="n">
        <v>0.37</v>
      </c>
      <c r="G158" s="16" t="inlineStr">
        <is>
          <t>Cluster 2</t>
        </is>
      </c>
      <c r="H158" s="16" t="inlineStr">
        <is>
          <t>Cluster 1</t>
        </is>
      </c>
      <c r="I158" s="16">
        <f>IF(E158=G158, "CONGRUENT", "DISCORDANT")</f>
        <v/>
      </c>
    </row>
    <row r="159" ht="19" customHeight="1">
      <c r="A159" s="13" t="inlineStr">
        <is>
          <t>WINE-157</t>
        </is>
      </c>
      <c r="B159" s="14" t="inlineStr">
        <is>
          <t>Veneto (Valpolicella)</t>
        </is>
      </c>
      <c r="C159" s="21" t="n">
        <v>3.146</v>
      </c>
      <c r="D159" s="21" t="n">
        <v>-1.985</v>
      </c>
      <c r="E159" s="13" t="inlineStr">
        <is>
          <t>Cluster 3</t>
        </is>
      </c>
      <c r="F159" s="21" t="n">
        <v>0.398</v>
      </c>
      <c r="G159" s="13" t="inlineStr">
        <is>
          <t>Cluster 2</t>
        </is>
      </c>
      <c r="H159" s="13" t="inlineStr">
        <is>
          <t>Cluster 1</t>
        </is>
      </c>
      <c r="I159" s="13">
        <f>IF(E159=G159, "CONGRUENT", "DISCORDANT")</f>
        <v/>
      </c>
    </row>
    <row r="160" ht="19" customHeight="1">
      <c r="A160" s="16" t="inlineStr">
        <is>
          <t>WINE-158</t>
        </is>
      </c>
      <c r="B160" s="17" t="inlineStr">
        <is>
          <t>Veneto (Valpolicella)</t>
        </is>
      </c>
      <c r="C160" s="22" t="n">
        <v>3.329</v>
      </c>
      <c r="D160" s="22" t="n">
        <v>-0.927</v>
      </c>
      <c r="E160" s="16" t="inlineStr">
        <is>
          <t>Cluster 3</t>
        </is>
      </c>
      <c r="F160" s="22" t="n">
        <v>0.297</v>
      </c>
      <c r="G160" s="16" t="inlineStr">
        <is>
          <t>Cluster 2</t>
        </is>
      </c>
      <c r="H160" s="16" t="inlineStr">
        <is>
          <t>Cluster 1</t>
        </is>
      </c>
      <c r="I160" s="16">
        <f>IF(E160=G160, "CONGRUENT", "DISCORDANT")</f>
        <v/>
      </c>
    </row>
    <row r="161" ht="19" customHeight="1">
      <c r="A161" s="13" t="inlineStr">
        <is>
          <t>WINE-159</t>
        </is>
      </c>
      <c r="B161" s="14" t="inlineStr">
        <is>
          <t>Veneto (Valpolicella)</t>
        </is>
      </c>
      <c r="C161" s="21" t="n">
        <v>1.052</v>
      </c>
      <c r="D161" s="21" t="n">
        <v>-3.339</v>
      </c>
      <c r="E161" s="13" t="inlineStr">
        <is>
          <t>Cluster 3</t>
        </is>
      </c>
      <c r="F161" s="21" t="n">
        <v>0.131</v>
      </c>
      <c r="G161" s="13" t="inlineStr">
        <is>
          <t>Cluster 2</t>
        </is>
      </c>
      <c r="H161" s="13" t="inlineStr">
        <is>
          <t>Cluster 1</t>
        </is>
      </c>
      <c r="I161" s="13">
        <f>IF(E161=G161, "CONGRUENT", "DISCORDANT")</f>
        <v/>
      </c>
    </row>
    <row r="162" ht="19" customHeight="1">
      <c r="A162" s="16" t="inlineStr">
        <is>
          <t>WINE-160</t>
        </is>
      </c>
      <c r="B162" s="17" t="inlineStr">
        <is>
          <t>Veneto (Valpolicella)</t>
        </is>
      </c>
      <c r="C162" s="22" t="n">
        <v>1.681</v>
      </c>
      <c r="D162" s="22" t="n">
        <v>-2.203</v>
      </c>
      <c r="E162" s="16" t="inlineStr">
        <is>
          <t>Cluster 3</t>
        </is>
      </c>
      <c r="F162" s="22" t="n">
        <v>0.24</v>
      </c>
      <c r="G162" s="16" t="inlineStr">
        <is>
          <t>Cluster 2</t>
        </is>
      </c>
      <c r="H162" s="16" t="inlineStr">
        <is>
          <t>Cluster 1</t>
        </is>
      </c>
      <c r="I162" s="16">
        <f>IF(E162=G162, "CONGRUENT", "DISCORDANT")</f>
        <v/>
      </c>
    </row>
    <row r="163" ht="19" customHeight="1">
      <c r="A163" s="13" t="inlineStr">
        <is>
          <t>WINE-161</t>
        </is>
      </c>
      <c r="B163" s="14" t="inlineStr">
        <is>
          <t>Veneto (Valpolicella)</t>
        </is>
      </c>
      <c r="C163" s="21" t="n">
        <v>3.101</v>
      </c>
      <c r="D163" s="21" t="n">
        <v>-0.518</v>
      </c>
      <c r="E163" s="13" t="inlineStr">
        <is>
          <t>Cluster 3</t>
        </is>
      </c>
      <c r="F163" s="21" t="n">
        <v>0.329</v>
      </c>
      <c r="G163" s="13" t="inlineStr">
        <is>
          <t>Cluster 2</t>
        </is>
      </c>
      <c r="H163" s="13" t="inlineStr">
        <is>
          <t>Cluster 1</t>
        </is>
      </c>
      <c r="I163" s="13">
        <f>IF(E163=G163, "CONGRUENT", "DISCORDANT")</f>
        <v/>
      </c>
    </row>
    <row r="164" ht="19" customHeight="1">
      <c r="A164" s="16" t="inlineStr">
        <is>
          <t>WINE-162</t>
        </is>
      </c>
      <c r="B164" s="17" t="inlineStr">
        <is>
          <t>Veneto (Valpolicella)</t>
        </is>
      </c>
      <c r="C164" s="22" t="n">
        <v>2.185</v>
      </c>
      <c r="D164" s="22" t="n">
        <v>-0.981</v>
      </c>
      <c r="E164" s="16" t="inlineStr">
        <is>
          <t>Cluster 3</t>
        </is>
      </c>
      <c r="F164" s="22" t="n">
        <v>0.251</v>
      </c>
      <c r="G164" s="16" t="inlineStr">
        <is>
          <t>Cluster 2</t>
        </is>
      </c>
      <c r="H164" s="16" t="inlineStr">
        <is>
          <t>Cluster 1</t>
        </is>
      </c>
      <c r="I164" s="16">
        <f>IF(E164=G164, "CONGRUENT", "DISCORDANT")</f>
        <v/>
      </c>
    </row>
    <row r="165" ht="19" customHeight="1">
      <c r="A165" s="13" t="inlineStr">
        <is>
          <t>WINE-163</t>
        </is>
      </c>
      <c r="B165" s="14" t="inlineStr">
        <is>
          <t>Veneto (Valpolicella)</t>
        </is>
      </c>
      <c r="C165" s="21" t="n">
        <v>2.81</v>
      </c>
      <c r="D165" s="21" t="n">
        <v>-0.42</v>
      </c>
      <c r="E165" s="13" t="inlineStr">
        <is>
          <t>Cluster 3</t>
        </is>
      </c>
      <c r="F165" s="21" t="n">
        <v>0.287</v>
      </c>
      <c r="G165" s="13" t="inlineStr">
        <is>
          <t>Cluster 2</t>
        </is>
      </c>
      <c r="H165" s="13" t="inlineStr">
        <is>
          <t>Cluster 1</t>
        </is>
      </c>
      <c r="I165" s="13">
        <f>IF(E165=G165, "CONGRUENT", "DISCORDANT")</f>
        <v/>
      </c>
    </row>
    <row r="166" ht="19" customHeight="1">
      <c r="A166" s="16" t="inlineStr">
        <is>
          <t>WINE-164</t>
        </is>
      </c>
      <c r="B166" s="17" t="inlineStr">
        <is>
          <t>Veneto (Valpolicella)</t>
        </is>
      </c>
      <c r="C166" s="22" t="n">
        <v>2.565</v>
      </c>
      <c r="D166" s="22" t="n">
        <v>-0.468</v>
      </c>
      <c r="E166" s="16" t="inlineStr">
        <is>
          <t>Cluster 3</t>
        </is>
      </c>
      <c r="F166" s="22" t="n">
        <v>0.317</v>
      </c>
      <c r="G166" s="16" t="inlineStr">
        <is>
          <t>Cluster 2</t>
        </is>
      </c>
      <c r="H166" s="16" t="inlineStr">
        <is>
          <t>Cluster 1</t>
        </is>
      </c>
      <c r="I166" s="16">
        <f>IF(E166=G166, "CONGRUENT", "DISCORDANT")</f>
        <v/>
      </c>
    </row>
    <row r="167" ht="19" customHeight="1">
      <c r="A167" s="13" t="inlineStr">
        <is>
          <t>WINE-165</t>
        </is>
      </c>
      <c r="B167" s="14" t="inlineStr">
        <is>
          <t>Veneto (Valpolicella)</t>
        </is>
      </c>
      <c r="C167" s="21" t="n">
        <v>3.109</v>
      </c>
      <c r="D167" s="21" t="n">
        <v>-1.555</v>
      </c>
      <c r="E167" s="13" t="inlineStr">
        <is>
          <t>Cluster 3</t>
        </is>
      </c>
      <c r="F167" s="21" t="n">
        <v>0.404</v>
      </c>
      <c r="G167" s="13" t="inlineStr">
        <is>
          <t>Cluster 2</t>
        </is>
      </c>
      <c r="H167" s="13" t="inlineStr">
        <is>
          <t>Cluster 1</t>
        </is>
      </c>
      <c r="I167" s="13">
        <f>IF(E167=G167, "CONGRUENT", "DISCORDANT")</f>
        <v/>
      </c>
    </row>
    <row r="168" ht="19" customHeight="1">
      <c r="A168" s="16" t="inlineStr">
        <is>
          <t>WINE-166</t>
        </is>
      </c>
      <c r="B168" s="17" t="inlineStr">
        <is>
          <t>Veneto (Valpolicella)</t>
        </is>
      </c>
      <c r="C168" s="22" t="n">
        <v>3.768</v>
      </c>
      <c r="D168" s="22" t="n">
        <v>-1.257</v>
      </c>
      <c r="E168" s="16" t="inlineStr">
        <is>
          <t>Cluster 3</t>
        </is>
      </c>
      <c r="F168" s="22" t="n">
        <v>0.309</v>
      </c>
      <c r="G168" s="16" t="inlineStr">
        <is>
          <t>Cluster 2</t>
        </is>
      </c>
      <c r="H168" s="16" t="inlineStr">
        <is>
          <t>Cluster 1</t>
        </is>
      </c>
      <c r="I168" s="16">
        <f>IF(E168=G168, "CONGRUENT", "DISCORDANT")</f>
        <v/>
      </c>
    </row>
    <row r="169" ht="19" customHeight="1">
      <c r="A169" s="13" t="inlineStr">
        <is>
          <t>WINE-167</t>
        </is>
      </c>
      <c r="B169" s="14" t="inlineStr">
        <is>
          <t>Veneto (Valpolicella)</t>
        </is>
      </c>
      <c r="C169" s="21" t="n">
        <v>2.358</v>
      </c>
      <c r="D169" s="21" t="n">
        <v>-2.257</v>
      </c>
      <c r="E169" s="13" t="inlineStr">
        <is>
          <t>Cluster 3</t>
        </is>
      </c>
      <c r="F169" s="21" t="n">
        <v>0.341</v>
      </c>
      <c r="G169" s="13" t="inlineStr">
        <is>
          <t>Cluster 2</t>
        </is>
      </c>
      <c r="H169" s="13" t="inlineStr">
        <is>
          <t>Cluster 1</t>
        </is>
      </c>
      <c r="I169" s="13">
        <f>IF(E169=G169, "CONGRUENT", "DISCORDANT")</f>
        <v/>
      </c>
    </row>
    <row r="170" ht="19" customHeight="1">
      <c r="A170" s="16" t="inlineStr">
        <is>
          <t>WINE-168</t>
        </is>
      </c>
      <c r="B170" s="17" t="inlineStr">
        <is>
          <t>Veneto (Valpolicella)</t>
        </is>
      </c>
      <c r="C170" s="22" t="n">
        <v>2.994</v>
      </c>
      <c r="D170" s="22" t="n">
        <v>-1.305</v>
      </c>
      <c r="E170" s="16" t="inlineStr">
        <is>
          <t>Cluster 3</t>
        </is>
      </c>
      <c r="F170" s="22" t="n">
        <v>0.344</v>
      </c>
      <c r="G170" s="16" t="inlineStr">
        <is>
          <t>Cluster 2</t>
        </is>
      </c>
      <c r="H170" s="16" t="inlineStr">
        <is>
          <t>Cluster 1</t>
        </is>
      </c>
      <c r="I170" s="16">
        <f>IF(E170=G170, "CONGRUENT", "DISCORDANT")</f>
        <v/>
      </c>
    </row>
    <row r="171" ht="19" customHeight="1">
      <c r="A171" s="13" t="inlineStr">
        <is>
          <t>WINE-169</t>
        </is>
      </c>
      <c r="B171" s="14" t="inlineStr">
        <is>
          <t>Veneto (Valpolicella)</t>
        </is>
      </c>
      <c r="C171" s="21" t="n">
        <v>2.208</v>
      </c>
      <c r="D171" s="21" t="n">
        <v>-1.912</v>
      </c>
      <c r="E171" s="13" t="inlineStr">
        <is>
          <t>Cluster 3</t>
        </is>
      </c>
      <c r="F171" s="21" t="n">
        <v>0.357</v>
      </c>
      <c r="G171" s="13" t="inlineStr">
        <is>
          <t>Cluster 2</t>
        </is>
      </c>
      <c r="H171" s="13" t="inlineStr">
        <is>
          <t>Cluster 1</t>
        </is>
      </c>
      <c r="I171" s="13">
        <f>IF(E171=G171, "CONGRUENT", "DISCORDANT")</f>
        <v/>
      </c>
    </row>
    <row r="172" ht="19" customHeight="1">
      <c r="A172" s="16" t="inlineStr">
        <is>
          <t>WINE-170</t>
        </is>
      </c>
      <c r="B172" s="17" t="inlineStr">
        <is>
          <t>Veneto (Valpolicella)</t>
        </is>
      </c>
      <c r="C172" s="22" t="n">
        <v>2.565</v>
      </c>
      <c r="D172" s="22" t="n">
        <v>-2.429</v>
      </c>
      <c r="E172" s="16" t="inlineStr">
        <is>
          <t>Cluster 3</t>
        </is>
      </c>
      <c r="F172" s="22" t="n">
        <v>0.322</v>
      </c>
      <c r="G172" s="16" t="inlineStr">
        <is>
          <t>Cluster 2</t>
        </is>
      </c>
      <c r="H172" s="16" t="inlineStr">
        <is>
          <t>Cluster 1</t>
        </is>
      </c>
      <c r="I172" s="16">
        <f>IF(E172=G172, "CONGRUENT", "DISCORDANT")</f>
        <v/>
      </c>
    </row>
    <row r="173" ht="19" customHeight="1">
      <c r="A173" s="13" t="inlineStr">
        <is>
          <t>WINE-171</t>
        </is>
      </c>
      <c r="B173" s="14" t="inlineStr">
        <is>
          <t>Veneto (Valpolicella)</t>
        </is>
      </c>
      <c r="C173" s="21" t="n">
        <v>3.038</v>
      </c>
      <c r="D173" s="21" t="n">
        <v>0.529</v>
      </c>
      <c r="E173" s="13" t="inlineStr">
        <is>
          <t>Cluster 3</t>
        </is>
      </c>
      <c r="F173" s="21" t="n">
        <v>0.249</v>
      </c>
      <c r="G173" s="13" t="inlineStr">
        <is>
          <t>Cluster 2</t>
        </is>
      </c>
      <c r="H173" s="13" t="inlineStr">
        <is>
          <t>Cluster 1</t>
        </is>
      </c>
      <c r="I173" s="13">
        <f>IF(E173=G173, "CONGRUENT", "DISCORDANT")</f>
        <v/>
      </c>
    </row>
    <row r="174" ht="19" customHeight="1">
      <c r="A174" s="16" t="inlineStr">
        <is>
          <t>WINE-172</t>
        </is>
      </c>
      <c r="B174" s="17" t="inlineStr">
        <is>
          <t>Veneto (Valpolicella)</t>
        </is>
      </c>
      <c r="C174" s="22" t="n">
        <v>3.745</v>
      </c>
      <c r="D174" s="22" t="n">
        <v>-0.806</v>
      </c>
      <c r="E174" s="16" t="inlineStr">
        <is>
          <t>Cluster 3</t>
        </is>
      </c>
      <c r="F174" s="22" t="n">
        <v>0.37</v>
      </c>
      <c r="G174" s="16" t="inlineStr">
        <is>
          <t>Cluster 2</t>
        </is>
      </c>
      <c r="H174" s="16" t="inlineStr">
        <is>
          <t>Cluster 1</t>
        </is>
      </c>
      <c r="I174" s="16">
        <f>IF(E174=G174, "CONGRUENT", "DISCORDANT")</f>
        <v/>
      </c>
    </row>
    <row r="175" ht="19" customHeight="1">
      <c r="A175" s="13" t="inlineStr">
        <is>
          <t>WINE-173</t>
        </is>
      </c>
      <c r="B175" s="14" t="inlineStr">
        <is>
          <t>Veneto (Valpolicella)</t>
        </is>
      </c>
      <c r="C175" s="21" t="n">
        <v>2.43</v>
      </c>
      <c r="D175" s="21" t="n">
        <v>-1.865</v>
      </c>
      <c r="E175" s="13" t="inlineStr">
        <is>
          <t>Cluster 3</t>
        </is>
      </c>
      <c r="F175" s="21" t="n">
        <v>0.361</v>
      </c>
      <c r="G175" s="13" t="inlineStr">
        <is>
          <t>Cluster 2</t>
        </is>
      </c>
      <c r="H175" s="13" t="inlineStr">
        <is>
          <t>Cluster 1</t>
        </is>
      </c>
      <c r="I175" s="13">
        <f>IF(E175=G175, "CONGRUENT", "DISCORDANT")</f>
        <v/>
      </c>
    </row>
    <row r="176" ht="19" customHeight="1">
      <c r="A176" s="16" t="inlineStr">
        <is>
          <t>WINE-174</t>
        </is>
      </c>
      <c r="B176" s="17" t="inlineStr">
        <is>
          <t>Veneto (Valpolicella)</t>
        </is>
      </c>
      <c r="C176" s="22" t="n">
        <v>3.674</v>
      </c>
      <c r="D176" s="22" t="n">
        <v>-2.388</v>
      </c>
      <c r="E176" s="16" t="inlineStr">
        <is>
          <t>Cluster 3</t>
        </is>
      </c>
      <c r="F176" s="22" t="n">
        <v>0.395</v>
      </c>
      <c r="G176" s="16" t="inlineStr">
        <is>
          <t>Cluster 2</t>
        </is>
      </c>
      <c r="H176" s="16" t="inlineStr">
        <is>
          <t>Cluster 1</t>
        </is>
      </c>
      <c r="I176" s="16">
        <f>IF(E176=G176, "CONGRUENT", "DISCORDANT")</f>
        <v/>
      </c>
    </row>
    <row r="177" ht="19" customHeight="1">
      <c r="A177" s="13" t="inlineStr">
        <is>
          <t>WINE-175</t>
        </is>
      </c>
      <c r="B177" s="14" t="inlineStr">
        <is>
          <t>Veneto (Valpolicella)</t>
        </is>
      </c>
      <c r="C177" s="21" t="n">
        <v>2.814</v>
      </c>
      <c r="D177" s="21" t="n">
        <v>-1.966</v>
      </c>
      <c r="E177" s="13" t="inlineStr">
        <is>
          <t>Cluster 3</t>
        </is>
      </c>
      <c r="F177" s="21" t="n">
        <v>0.379</v>
      </c>
      <c r="G177" s="13" t="inlineStr">
        <is>
          <t>Cluster 2</t>
        </is>
      </c>
      <c r="H177" s="13" t="inlineStr">
        <is>
          <t>Cluster 1</t>
        </is>
      </c>
      <c r="I177" s="13">
        <f>IF(E177=G177, "CONGRUENT", "DISCORDANT")</f>
        <v/>
      </c>
    </row>
    <row r="178" ht="19" customHeight="1">
      <c r="A178" s="16" t="inlineStr">
        <is>
          <t>WINE-176</t>
        </is>
      </c>
      <c r="B178" s="17" t="inlineStr">
        <is>
          <t>Veneto (Valpolicella)</t>
        </is>
      </c>
      <c r="C178" s="22" t="n">
        <v>2.667</v>
      </c>
      <c r="D178" s="22" t="n">
        <v>-2.513</v>
      </c>
      <c r="E178" s="16" t="inlineStr">
        <is>
          <t>Cluster 3</t>
        </is>
      </c>
      <c r="F178" s="22" t="n">
        <v>0.384</v>
      </c>
      <c r="G178" s="16" t="inlineStr">
        <is>
          <t>Cluster 2</t>
        </is>
      </c>
      <c r="H178" s="16" t="inlineStr">
        <is>
          <t>Cluster 1</t>
        </is>
      </c>
      <c r="I178" s="16">
        <f>IF(E178=G178, "CONGRUENT", "DISCORDANT")</f>
        <v/>
      </c>
    </row>
    <row r="179" ht="19" customHeight="1">
      <c r="A179" s="13" t="inlineStr">
        <is>
          <t>WINE-177</t>
        </is>
      </c>
      <c r="B179" s="14" t="inlineStr">
        <is>
          <t>Veneto (Valpolicella)</t>
        </is>
      </c>
      <c r="C179" s="21" t="n">
        <v>2.264</v>
      </c>
      <c r="D179" s="21" t="n">
        <v>-1.915</v>
      </c>
      <c r="E179" s="13" t="inlineStr">
        <is>
          <t>Cluster 3</t>
        </is>
      </c>
      <c r="F179" s="21" t="n">
        <v>0.341</v>
      </c>
      <c r="G179" s="13" t="inlineStr">
        <is>
          <t>Cluster 2</t>
        </is>
      </c>
      <c r="H179" s="13" t="inlineStr">
        <is>
          <t>Cluster 1</t>
        </is>
      </c>
      <c r="I179" s="13">
        <f>IF(E179=G179, "CONGRUENT", "DISCORDANT")</f>
        <v/>
      </c>
    </row>
    <row r="180" ht="19" customHeight="1">
      <c r="A180" s="16" t="inlineStr">
        <is>
          <t>WINE-178</t>
        </is>
      </c>
      <c r="B180" s="17" t="inlineStr">
        <is>
          <t>Veneto (Valpolicella)</t>
        </is>
      </c>
      <c r="C180" s="22" t="n">
        <v>3.236</v>
      </c>
      <c r="D180" s="22" t="n">
        <v>-2.535</v>
      </c>
      <c r="E180" s="16" t="inlineStr">
        <is>
          <t>Cluster 3</t>
        </is>
      </c>
      <c r="F180" s="22" t="n">
        <v>0.394</v>
      </c>
      <c r="G180" s="16" t="inlineStr">
        <is>
          <t>Cluster 2</t>
        </is>
      </c>
      <c r="H180" s="16" t="inlineStr">
        <is>
          <t>Cluster 1</t>
        </is>
      </c>
      <c r="I180" s="16">
        <f>IF(E180=G180, "CONGRUENT", "DISCORDANT")</f>
        <v/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22" customWidth="1" min="4" max="4"/>
    <col width="24" customWidth="1" min="5" max="5"/>
    <col width="11" customWidth="1" min="6" max="6"/>
    <col width="11" customWidth="1" min="7" max="7"/>
  </cols>
  <sheetData>
    <row r="1" ht="35" customHeight="1">
      <c r="A1" s="12" t="inlineStr">
        <is>
          <t>K-Means Cluster Optimization (Elbow Method &amp; Silhouette Evaluation) [Slide 8 &amp; 10]</t>
        </is>
      </c>
    </row>
    <row r="2" ht="28" customHeight="1">
      <c r="A2" s="6" t="inlineStr">
        <is>
          <t>K (Number of Clusters)</t>
        </is>
      </c>
      <c r="B2" s="6" t="inlineStr">
        <is>
          <t>Inertia (Within-Cluster Sum of Squares)</t>
        </is>
      </c>
      <c r="C2" s="6" t="inlineStr">
        <is>
          <t>Silhouette Score</t>
        </is>
      </c>
      <c r="D2" s="6" t="inlineStr">
        <is>
          <t>Davies-Bouldin Index</t>
        </is>
      </c>
      <c r="E2" s="6" t="inlineStr">
        <is>
          <t>Calinski-Harabasz Index</t>
        </is>
      </c>
    </row>
    <row r="3" ht="22" customHeight="1">
      <c r="A3" s="7" t="n">
        <v>2</v>
      </c>
      <c r="B3" s="23" t="n">
        <v>2176.071475118033</v>
      </c>
      <c r="C3" s="24" t="n">
        <v>0.2229017148318656</v>
      </c>
      <c r="D3" s="23" t="n">
        <v>1.657277962633898</v>
      </c>
      <c r="E3" s="23" t="n">
        <v>54.34537501706457</v>
      </c>
    </row>
    <row r="4" ht="22" customHeight="1">
      <c r="A4" s="25" t="n">
        <v>3</v>
      </c>
      <c r="B4" s="26" t="n">
        <v>1793.766788666156</v>
      </c>
      <c r="C4" s="27" t="n">
        <v>0.2248236876096615</v>
      </c>
      <c r="D4" s="26" t="n">
        <v>1.649265137443076</v>
      </c>
      <c r="E4" s="26" t="n">
        <v>51.42552898992239</v>
      </c>
    </row>
    <row r="5" ht="22" customHeight="1">
      <c r="A5" s="7" t="n">
        <v>4</v>
      </c>
      <c r="B5" s="23" t="n">
        <v>1684.83423545897</v>
      </c>
      <c r="C5" s="24" t="n">
        <v>0.2143027656263677</v>
      </c>
      <c r="D5" s="23" t="n">
        <v>1.802056223866265</v>
      </c>
      <c r="E5" s="23" t="n">
        <v>40.04169248436588</v>
      </c>
    </row>
    <row r="6" ht="22" customHeight="1">
      <c r="A6" s="7" t="n">
        <v>5</v>
      </c>
      <c r="B6" s="23" t="n">
        <v>1614.973316163236</v>
      </c>
      <c r="C6" s="24" t="n">
        <v>0.1570234215382396</v>
      </c>
      <c r="D6" s="23" t="n">
        <v>2.209561751966827</v>
      </c>
      <c r="E6" s="23" t="n">
        <v>33.0212292315979</v>
      </c>
    </row>
    <row r="7" ht="22" customHeight="1">
      <c r="A7" s="7" t="n">
        <v>6</v>
      </c>
      <c r="B7" s="23" t="n">
        <v>1547.736241769567</v>
      </c>
      <c r="C7" s="24" t="n">
        <v>0.1298123862346869</v>
      </c>
      <c r="D7" s="23" t="n">
        <v>2.160853872860629</v>
      </c>
      <c r="E7" s="23" t="n">
        <v>28.89967429591684</v>
      </c>
    </row>
    <row r="8" ht="22" customHeight="1">
      <c r="A8" s="7" t="n">
        <v>7</v>
      </c>
      <c r="B8" s="23" t="n">
        <v>1497.019399219346</v>
      </c>
      <c r="C8" s="24" t="n">
        <v>0.1082446906665464</v>
      </c>
      <c r="D8" s="23" t="n">
        <v>2.114564487761896</v>
      </c>
      <c r="E8" s="23" t="n">
        <v>25.7197382627953</v>
      </c>
    </row>
    <row r="9" ht="22" customHeight="1">
      <c r="A9" s="7" t="n">
        <v>8</v>
      </c>
      <c r="B9" s="23" t="n">
        <v>1413.280435670312</v>
      </c>
      <c r="C9" s="24" t="n">
        <v>0.1050190631886858</v>
      </c>
      <c r="D9" s="23" t="n">
        <v>2.1435736500849</v>
      </c>
      <c r="E9" s="23" t="n">
        <v>24.65412280536476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8" customWidth="1" min="3" max="3"/>
    <col width="19" customWidth="1" min="4" max="4"/>
    <col width="21" customWidth="1" min="5" max="5"/>
    <col width="22" customWidth="1" min="6" max="6"/>
    <col width="11" customWidth="1" min="7" max="7"/>
    <col width="11" customWidth="1" min="8" max="8"/>
  </cols>
  <sheetData>
    <row r="1" ht="35" customHeight="1">
      <c r="A1" s="12" t="inlineStr">
        <is>
          <t>Comprehensive Chemical &amp; Enological Feature Dictionary</t>
        </is>
      </c>
    </row>
    <row r="2" ht="28" customHeight="1">
      <c r="A2" s="6" t="inlineStr">
        <is>
          <t>Feature Name</t>
        </is>
      </c>
      <c r="B2" s="6" t="inlineStr">
        <is>
          <t>PPT Domain Category</t>
        </is>
      </c>
      <c r="C2" s="6" t="inlineStr">
        <is>
          <t>Role in Clustering</t>
        </is>
      </c>
      <c r="D2" s="6" t="inlineStr">
        <is>
          <t>Unit / Metric</t>
        </is>
      </c>
      <c r="E2" s="6" t="inlineStr">
        <is>
          <t>Mean</t>
        </is>
      </c>
      <c r="F2" s="6" t="inlineStr">
        <is>
          <t>Std Dev</t>
        </is>
      </c>
      <c r="G2" s="6" t="inlineStr">
        <is>
          <t>Min</t>
        </is>
      </c>
      <c r="H2" s="6" t="inlineStr">
        <is>
          <t>Max</t>
        </is>
      </c>
    </row>
    <row r="3" ht="22" customHeight="1">
      <c r="A3" s="14" t="inlineStr">
        <is>
          <t>Alcohol</t>
        </is>
      </c>
      <c r="B3" s="14" t="inlineStr">
        <is>
          <t>Composition</t>
        </is>
      </c>
      <c r="C3" s="14" t="inlineStr">
        <is>
          <t>Captures base alcoholic strength &amp; fermentation depth</t>
        </is>
      </c>
      <c r="D3" s="14" t="inlineStr">
        <is>
          <t>% by volume</t>
        </is>
      </c>
      <c r="E3" s="15" t="n">
        <v>13.00061797752809</v>
      </c>
      <c r="F3" s="15" t="n">
        <v>0.8118265380058575</v>
      </c>
      <c r="G3" s="15" t="n">
        <v>11.03</v>
      </c>
      <c r="H3" s="15" t="n">
        <v>14.83</v>
      </c>
    </row>
    <row r="4" ht="22" customHeight="1">
      <c r="A4" s="17" t="inlineStr">
        <is>
          <t>Malic Acid</t>
        </is>
      </c>
      <c r="B4" s="17" t="inlineStr">
        <is>
          <t>Acidity</t>
        </is>
      </c>
      <c r="C4" s="17" t="inlineStr">
        <is>
          <t>Distinguishes crisp green malic acidity vs mellow profiles</t>
        </is>
      </c>
      <c r="D4" s="17" t="inlineStr">
        <is>
          <t>g/L</t>
        </is>
      </c>
      <c r="E4" s="18" t="n">
        <v>2.336348314606742</v>
      </c>
      <c r="F4" s="18" t="n">
        <v>1.117146097614463</v>
      </c>
      <c r="G4" s="18" t="n">
        <v>0.74</v>
      </c>
      <c r="H4" s="18" t="n">
        <v>5.8</v>
      </c>
    </row>
    <row r="5" ht="22" customHeight="1">
      <c r="A5" s="14" t="inlineStr">
        <is>
          <t>Ash</t>
        </is>
      </c>
      <c r="B5" s="14" t="inlineStr">
        <is>
          <t>Composition</t>
        </is>
      </c>
      <c r="C5" s="14" t="inlineStr">
        <is>
          <t>Total inorganic mineral content left after incineration</t>
        </is>
      </c>
      <c r="D5" s="14" t="inlineStr">
        <is>
          <t>g/L</t>
        </is>
      </c>
      <c r="E5" s="15" t="n">
        <v>2.366516853932584</v>
      </c>
      <c r="F5" s="15" t="n">
        <v>0.2743440090608149</v>
      </c>
      <c r="G5" s="15" t="n">
        <v>1.36</v>
      </c>
      <c r="H5" s="15" t="n">
        <v>3.23</v>
      </c>
    </row>
    <row r="6" ht="22" customHeight="1">
      <c r="A6" s="17" t="inlineStr">
        <is>
          <t>Alcalinity of Ash</t>
        </is>
      </c>
      <c r="B6" s="17" t="inlineStr">
        <is>
          <t>Acidity</t>
        </is>
      </c>
      <c r="C6" s="17" t="inlineStr">
        <is>
          <t>Measures buffer capacity and alkalinity of mineral salts</t>
        </is>
      </c>
      <c r="D6" s="17" t="inlineStr">
        <is>
          <t>meq/L</t>
        </is>
      </c>
      <c r="E6" s="18" t="n">
        <v>19.49494382022472</v>
      </c>
      <c r="F6" s="18" t="n">
        <v>3.339563767173505</v>
      </c>
      <c r="G6" s="18" t="n">
        <v>10.6</v>
      </c>
      <c r="H6" s="18" t="n">
        <v>30</v>
      </c>
    </row>
    <row r="7" ht="22" customHeight="1">
      <c r="A7" s="14" t="inlineStr">
        <is>
          <t>Magnesium</t>
        </is>
      </c>
      <c r="B7" s="14" t="inlineStr">
        <is>
          <t>Composition</t>
        </is>
      </c>
      <c r="C7" s="14" t="inlineStr">
        <is>
          <t>Key soil nutrient uptake indicator influencing mouthfeel</t>
        </is>
      </c>
      <c r="D7" s="14" t="inlineStr">
        <is>
          <t>mg/L</t>
        </is>
      </c>
      <c r="E7" s="15" t="n">
        <v>99.74157303370787</v>
      </c>
      <c r="F7" s="15" t="n">
        <v>14.28248351529566</v>
      </c>
      <c r="G7" s="15" t="n">
        <v>70</v>
      </c>
      <c r="H7" s="15" t="n">
        <v>162</v>
      </c>
    </row>
    <row r="8" ht="22" customHeight="1">
      <c r="A8" s="17" t="inlineStr">
        <is>
          <t>Total Phenols</t>
        </is>
      </c>
      <c r="B8" s="17" t="inlineStr">
        <is>
          <t>Phenolics</t>
        </is>
      </c>
      <c r="C8" s="17" t="inlineStr">
        <is>
          <t>Sum of all polyphenolic compounds reflecting antioxidant load</t>
        </is>
      </c>
      <c r="D8" s="17" t="inlineStr">
        <is>
          <t>g/L</t>
        </is>
      </c>
      <c r="E8" s="18" t="n">
        <v>2.295112359550562</v>
      </c>
      <c r="F8" s="18" t="n">
        <v>0.6258510488339893</v>
      </c>
      <c r="G8" s="18" t="n">
        <v>0.98</v>
      </c>
      <c r="H8" s="18" t="n">
        <v>3.88</v>
      </c>
    </row>
    <row r="9" ht="22" customHeight="1">
      <c r="A9" s="14" t="inlineStr">
        <is>
          <t>Flavonoids</t>
        </is>
      </c>
      <c r="B9" s="14" t="inlineStr">
        <is>
          <t>Phenolics</t>
        </is>
      </c>
      <c r="C9" s="14" t="inlineStr">
        <is>
          <t>Major phenolic class determining astringency and mouthfeel</t>
        </is>
      </c>
      <c r="D9" s="14" t="inlineStr">
        <is>
          <t>g/L</t>
        </is>
      </c>
      <c r="E9" s="15" t="n">
        <v>2.029269662921349</v>
      </c>
      <c r="F9" s="15" t="n">
        <v>0.9988586850169467</v>
      </c>
      <c r="G9" s="15" t="n">
        <v>0.34</v>
      </c>
      <c r="H9" s="15" t="n">
        <v>5.08</v>
      </c>
    </row>
    <row r="10" ht="22" customHeight="1">
      <c r="A10" s="17" t="inlineStr">
        <is>
          <t>Nonflavanoid Phenols</t>
        </is>
      </c>
      <c r="B10" s="17" t="inlineStr">
        <is>
          <t>Phenolics</t>
        </is>
      </c>
      <c r="C10" s="17" t="inlineStr">
        <is>
          <t>Secondary phenolics contributing to chemical stability</t>
        </is>
      </c>
      <c r="D10" s="17" t="inlineStr">
        <is>
          <t>g/L</t>
        </is>
      </c>
      <c r="E10" s="18" t="n">
        <v>0.3618539325842696</v>
      </c>
      <c r="F10" s="18" t="n">
        <v>0.1244533402966794</v>
      </c>
      <c r="G10" s="18" t="n">
        <v>0.13</v>
      </c>
      <c r="H10" s="18" t="n">
        <v>0.66</v>
      </c>
    </row>
    <row r="11" ht="22" customHeight="1">
      <c r="A11" s="14" t="inlineStr">
        <is>
          <t>Proanthocyanins</t>
        </is>
      </c>
      <c r="B11" s="14" t="inlineStr">
        <is>
          <t>Phenolics</t>
        </is>
      </c>
      <c r="C11" s="14" t="inlineStr">
        <is>
          <t>Condensed tannins responsible for color stability &amp; aging</t>
        </is>
      </c>
      <c r="D11" s="14" t="inlineStr">
        <is>
          <t>g/L</t>
        </is>
      </c>
      <c r="E11" s="15" t="n">
        <v>1.590898876404494</v>
      </c>
      <c r="F11" s="15" t="n">
        <v>0.5723588626747613</v>
      </c>
      <c r="G11" s="15" t="n">
        <v>0.41</v>
      </c>
      <c r="H11" s="15" t="n">
        <v>3.58</v>
      </c>
    </row>
    <row r="12" ht="22" customHeight="1">
      <c r="A12" s="17" t="inlineStr">
        <is>
          <t>Color Intensity</t>
        </is>
      </c>
      <c r="B12" s="17" t="inlineStr">
        <is>
          <t>Color</t>
        </is>
      </c>
      <c r="C12" s="17" t="inlineStr">
        <is>
          <t>Spectrophotometric absorbance reflecting depth of color</t>
        </is>
      </c>
      <c r="D12" s="17" t="inlineStr">
        <is>
          <t>Absorbance units</t>
        </is>
      </c>
      <c r="E12" s="18" t="n">
        <v>5.058089882022472</v>
      </c>
      <c r="F12" s="18" t="n">
        <v>2.318285871822413</v>
      </c>
      <c r="G12" s="18" t="n">
        <v>1.28</v>
      </c>
      <c r="H12" s="18" t="n">
        <v>13</v>
      </c>
    </row>
    <row r="13" ht="22" customHeight="1">
      <c r="A13" s="14" t="inlineStr">
        <is>
          <t>Hue</t>
        </is>
      </c>
      <c r="B13" s="14" t="inlineStr">
        <is>
          <t>Color</t>
        </is>
      </c>
      <c r="C13" s="14" t="inlineStr">
        <is>
          <t>Ratio of yellow-to-red hues indicating oxidation/aging state</t>
        </is>
      </c>
      <c r="D13" s="14" t="inlineStr">
        <is>
          <t>Abs ratio</t>
        </is>
      </c>
      <c r="E13" s="15" t="n">
        <v>0.9574494382022471</v>
      </c>
      <c r="F13" s="15" t="n">
        <v>0.2285715658298234</v>
      </c>
      <c r="G13" s="15" t="n">
        <v>0.48</v>
      </c>
      <c r="H13" s="15" t="n">
        <v>1.71</v>
      </c>
    </row>
    <row r="14" ht="22" customHeight="1">
      <c r="A14" s="17" t="inlineStr">
        <is>
          <t>OD280/OD315 Diluted Wines</t>
        </is>
      </c>
      <c r="B14" s="17" t="inlineStr">
        <is>
          <t>Phenolics</t>
        </is>
      </c>
      <c r="C14" s="17" t="inlineStr">
        <is>
          <t>Protein absorbance ratio determining phenolic maturity</t>
        </is>
      </c>
      <c r="D14" s="17" t="inlineStr">
        <is>
          <t>Abs ratio</t>
        </is>
      </c>
      <c r="E14" s="18" t="n">
        <v>2.611685393258427</v>
      </c>
      <c r="F14" s="18" t="n">
        <v>0.7099904287650504</v>
      </c>
      <c r="G14" s="18" t="n">
        <v>1.27</v>
      </c>
      <c r="H14" s="18" t="n">
        <v>4</v>
      </c>
    </row>
    <row r="15" ht="22" customHeight="1">
      <c r="A15" s="14" t="inlineStr">
        <is>
          <t>Proline</t>
        </is>
      </c>
      <c r="B15" s="14" t="inlineStr">
        <is>
          <t>Composition</t>
        </is>
      </c>
      <c r="C15" s="14" t="inlineStr">
        <is>
          <t>Abundant amino acid indicating grape ripeness &amp; body</t>
        </is>
      </c>
      <c r="D15" s="14" t="inlineStr">
        <is>
          <t>mg/L</t>
        </is>
      </c>
      <c r="E15" s="15" t="n">
        <v>746.8932584269663</v>
      </c>
      <c r="F15" s="15" t="n">
        <v>314.9074742768491</v>
      </c>
      <c r="G15" s="15" t="n">
        <v>278</v>
      </c>
      <c r="H15" s="15" t="n">
        <v>1680</v>
      </c>
    </row>
    <row r="16" ht="22" customHeight="1">
      <c r="A16" s="17" t="inlineStr">
        <is>
          <t>pH</t>
        </is>
      </c>
      <c r="B16" s="17" t="inlineStr">
        <is>
          <t>Acidity</t>
        </is>
      </c>
      <c r="C16" s="17" t="inlineStr">
        <is>
          <t>Direct measure of free hydrogen ions dictating microbiological stability</t>
        </is>
      </c>
      <c r="D16" s="17" t="inlineStr">
        <is>
          <t>pH Scale</t>
        </is>
      </c>
      <c r="E16" s="18" t="n">
        <v>3.360224719101124</v>
      </c>
      <c r="F16" s="18" t="n">
        <v>0.1723809834445507</v>
      </c>
      <c r="G16" s="18" t="n">
        <v>2.93</v>
      </c>
      <c r="H16" s="18" t="n">
        <v>3.98</v>
      </c>
    </row>
    <row r="17" ht="22" customHeight="1">
      <c r="A17" s="14" t="inlineStr">
        <is>
          <t>Residual Sugar gL</t>
        </is>
      </c>
      <c r="B17" s="14" t="inlineStr">
        <is>
          <t>Composition</t>
        </is>
      </c>
      <c r="C17" s="14" t="inlineStr">
        <is>
          <t>Unfermented sugars governing perceived sweetness &amp; body</t>
        </is>
      </c>
      <c r="D17" s="14" t="inlineStr">
        <is>
          <t>g/L</t>
        </is>
      </c>
      <c r="E17" s="15" t="n">
        <v>2.002977528089888</v>
      </c>
      <c r="F17" s="15" t="n">
        <v>1.290352997535644</v>
      </c>
      <c r="G17" s="15" t="n">
        <v>0.22</v>
      </c>
      <c r="H17" s="15" t="n">
        <v>6.02</v>
      </c>
    </row>
    <row r="18" ht="22" customHeight="1">
      <c r="A18" s="17" t="inlineStr">
        <is>
          <t>Fermentation Temp C</t>
        </is>
      </c>
      <c r="B18" s="17" t="inlineStr">
        <is>
          <t>Enology</t>
        </is>
      </c>
      <c r="C18" s="17" t="inlineStr">
        <is>
          <t>Vinification temperature governing aromatic ester preservation</t>
        </is>
      </c>
      <c r="D18" s="17" t="inlineStr">
        <is>
          <t>Degrees C</t>
        </is>
      </c>
      <c r="E18" s="18" t="n">
        <v>26.42584269662921</v>
      </c>
      <c r="F18" s="18" t="n">
        <v>1.787655605167414</v>
      </c>
      <c r="G18" s="18" t="n">
        <v>21.6</v>
      </c>
      <c r="H18" s="18" t="n">
        <v>31.2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2026-09-24T05:52:50Z</dcterms:created>
  <dcterms:modified xmlns:dcterms="http://purl.org/dc/terms/" xmlns:xsi="http://www.w3.org/2001/XMLSchema-instance" xsi:type="dcterms:W3CDTF">2026-09-24T05:52:52Z</dcterms:modified>
</cp:coreProperties>
</file>